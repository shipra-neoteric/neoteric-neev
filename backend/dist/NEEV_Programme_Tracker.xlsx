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ineeMaster" sheetId="2" state="visible" r:id="rId4"/>
    <sheet name="Calendar" sheetId="3" state="visible" r:id="rId5"/>
    <sheet name="Rotation" sheetId="4" state="visible" r:id="rId6"/>
    <sheet name="TrainerMatrix" sheetId="5" state="visible" r:id="rId7"/>
    <sheet name="Attendance" sheetId="6" state="visible" r:id="rId8"/>
    <sheet name="DailyLog" sheetId="7" state="visible" r:id="rId9"/>
    <sheet name="Weekly" sheetId="8" state="visible" r:id="rId10"/>
    <sheet name="GateD11" sheetId="9" state="visible" r:id="rId11"/>
    <sheet name="Final" sheetId="10" state="visible" r:id="rId12"/>
    <sheet name="Immersion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<sst xmlns="http://schemas.openxmlformats.org/spreadsheetml/2006/main" count="857" uniqueCount="441">
  <si>
    <t xml:space="preserve">Project NEEV — Trainee Supervisor Programme Tracker</t>
  </si>
  <si>
    <t xml:space="preserve">Batch 2026-01 · 12 Trainee Supervisors · Phase 1: Sep–Dec 2026 · Gateway Assessment: Month 5 (Jan 2027) · Confirmation: 31 May 2027</t>
  </si>
  <si>
    <t xml:space="preserve">WHO DOES WHAT</t>
  </si>
  <si>
    <t xml:space="preserve">Rajat — runs it</t>
  </si>
  <si>
    <t xml:space="preserve">Training Coordinator. Fills Attendance and DailyLog at 17:30 every day, at the point of the log review — not at the end of the week. Keeps this workbook current.</t>
  </si>
  <si>
    <t xml:space="preserve">Deepti — owns it</t>
  </si>
  <si>
    <t xml:space="preserve">Training Supervisor. Fills Weekly every Saturday, marks the D11 checkpoint and the D26 assessment, reads the bands, decides the department allotment, and takes it to the Saturday review.</t>
  </si>
  <si>
    <t xml:space="preserve">Bharti — office</t>
  </si>
  <si>
    <t xml:space="preserve">Office Coordinator. Trainee names and joining documents into TraineeMaster, attendance data to payroll, training files.</t>
  </si>
  <si>
    <t xml:space="preserve">WHEN TO FILL WHAT</t>
  </si>
  <si>
    <t xml:space="preserve">Daily 17:30</t>
  </si>
  <si>
    <t xml:space="preserve">Attendance and DailyLog. Two numbers per trainee. Five minutes.</t>
  </si>
  <si>
    <t xml:space="preserve">Every Saturday</t>
  </si>
  <si>
    <t xml:space="preserve">Weekly — buddy rating out of 5 and module test out of 20.</t>
  </si>
  <si>
    <t xml:space="preserve">12 Sep</t>
  </si>
  <si>
    <t xml:space="preserve">Checkpoint sheet. Velocity and Final compute themselves from it. Pods are formed from this result.</t>
  </si>
  <si>
    <t xml:space="preserve">30 Sep</t>
  </si>
  <si>
    <t xml:space="preserve">Fill Capstone and department-block drill scores in Final. Read the band, allot the Month 2 immersion in the Immersions sheet.</t>
  </si>
  <si>
    <t xml:space="preserve">CELL COLOURS</t>
  </si>
  <si>
    <t xml:space="preserve">Blue text on yellow</t>
  </si>
  <si>
    <t xml:space="preserve">You type here. These are the only cells you edit.</t>
  </si>
  <si>
    <t xml:space="preserve">Black text</t>
  </si>
  <si>
    <t xml:space="preserve">A formula. Do not overwrite — if you type over it, the sheet stops working.</t>
  </si>
  <si>
    <t xml:space="preserve">Green text</t>
  </si>
  <si>
    <t xml:space="preserve">A link pulling a value from another sheet.</t>
  </si>
  <si>
    <t xml:space="preserve">THE TWO THINGS WE MEASURE</t>
  </si>
  <si>
    <t xml:space="preserve">Score</t>
  </si>
  <si>
    <t xml:space="preserve">What the trainee knows and can do. The weighted total in the Final sheet, out of 100.</t>
  </si>
  <si>
    <t xml:space="preserve">Learning Velocity</t>
  </si>
  <si>
    <t xml:space="preserve">How fast they are learning, measured as normalised gain: (Gate − Baseline) ÷ (100 − Baseline) × 100.</t>
  </si>
  <si>
    <t xml:space="preserve">Why normalised</t>
  </si>
  <si>
    <t xml:space="preserve">A trainee who moves 30→70 captured 57% of the improvement available to them. One who moves 65→75 captured 29%. The second has a higher score and the lower velocity. Velocity, not starting position, drives the Month 2 assignment.</t>
  </si>
  <si>
    <t xml:space="preserve">BANDS</t>
  </si>
  <si>
    <t xml:space="preserve">A — Fast</t>
  </si>
  <si>
    <t xml:space="preserve">Final &gt;= 75 and Velocity &gt;= 55. Given the harder scope in each immersion; watch as a future department lead.</t>
  </si>
  <si>
    <t xml:space="preserve">B — On track</t>
  </si>
  <si>
    <t xml:space="preserve">Final &gt;= 60. Standard immersion scope with daily supervision. Most people should be here.</t>
  </si>
  <si>
    <t xml:space="preserve">C — Developing</t>
  </si>
  <si>
    <t xml:space="preserve">Final &gt;= 45. Written improvement plan naming two specific gaps, a named mentor, re-check next month.</t>
  </si>
  <si>
    <t xml:space="preserve">D — At risk</t>
  </si>
  <si>
    <t xml:space="preserve">Final &lt; 45. Honest written conversation with Deepti. NOT an exit — the Gateway in Month 5 is the exit point. But they must be told in September, not discover it in January.</t>
  </si>
  <si>
    <t xml:space="preserve">ASSUMPTIONS</t>
  </si>
  <si>
    <t xml:space="preserve">Hours</t>
  </si>
  <si>
    <t xml:space="preserve">09:00 to 18:00 per the offer letter. Eight scheduled early-muster days (2, 5, 8, 14, 17, 21, 24, 28 Sep) start 07:30 and end 16:30.</t>
  </si>
  <si>
    <t xml:space="preserve">Offs</t>
  </si>
  <si>
    <t xml:space="preserve">4 offs per month per the offer letter. In September these are the four Sundays, giving 26 working days.</t>
  </si>
  <si>
    <t xml:space="preserve">Weights</t>
  </si>
  <si>
    <t xml:space="preserve">Set by Rahul and Deepti; stated in Part A6 of the Trainee Handbook. Editable in the Final sheet, row 4.</t>
  </si>
  <si>
    <t xml:space="preserve">Baseline</t>
  </si>
  <si>
    <t xml:space="preserve">The D01 diagnostic is NOT used for ranking. It exists only so that improvement can be measured. Tell the trainees this.</t>
  </si>
  <si>
    <t xml:space="preserve">Gateway</t>
  </si>
  <si>
    <t xml:space="preserve">Month 5, January 2027. Theory + practical. This workbook covers Month 1; the same structure extends through Months 2-4.</t>
  </si>
  <si>
    <t xml:space="preserve">Trainee Master</t>
  </si>
  <si>
    <t xml:space="preserve">Bharti fills columns B, C and G at joining. Pod and Site Buddy are assigned on 12 Sep after the checkpoint (see Rotation sheet). Four pods of three, one buddy per pod.</t>
  </si>
  <si>
    <t xml:space="preserve">ID</t>
  </si>
  <si>
    <t xml:space="preserve">Name</t>
  </si>
  <si>
    <t xml:space="preserve">Diploma / branch</t>
  </si>
  <si>
    <t xml:space="preserve">Pod</t>
  </si>
  <si>
    <t xml:space="preserve">Site Buddy</t>
  </si>
  <si>
    <t xml:space="preserve">Base site</t>
  </si>
  <si>
    <t xml:space="preserve">Notes</t>
  </si>
  <si>
    <t xml:space="preserve">T01</t>
  </si>
  <si>
    <t xml:space="preserve">Rahul Sharma (example)</t>
  </si>
  <si>
    <t xml:space="preserve">Civil — Govt Polytechnic Gwalior</t>
  </si>
  <si>
    <t xml:space="preserve">A</t>
  </si>
  <si>
    <t xml:space="preserve">Sr. Engineer — Structures</t>
  </si>
  <si>
    <t xml:space="preserve">Zen Garden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</si>
  <si>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</si>
  <si>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</si>
  <si>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</si>
  <si>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</si>
  <si>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</si>
  <si>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</si>
  <si>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</si>
  <si>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T09</t>
  </si>
  <si>
    <t xml:space="preserve">T10</t>
  </si>
  <si>
    <t xml:space="preserve">T11</t>
  </si>
  <si>
    <t xml:space="preserve">T12</t>
  </si>
  <si>
    <t xml:space="preserve">Example row shown in T01. Overwrite it with the real trainee.</t>
  </si>
  <si>
    <t xml:space="preserve">Programme Calendar — Month 1</t>
  </si>
  <si>
    <t xml:space="preserve">26 working days, 1–30 September 2026. Sundays off. Adjust for any local holiday before Day 1.</t>
  </si>
  <si>
    <t xml:space="preserve">Day</t>
  </si>
  <si>
    <t xml:space="preserve">Date</t>
  </si>
  <si>
    <t xml:space="preserve">Weekday</t>
  </si>
  <si>
    <t xml:space="preserve">Phase</t>
  </si>
  <si>
    <t xml:space="preserve">Focus / classroom module (15:30–17:00)</t>
  </si>
  <si>
    <t xml:space="preserve">Owner</t>
  </si>
  <si>
    <t xml:space="preserve">D01</t>
  </si>
  <si>
    <t xml:space="preserve">01-Sep-26</t>
  </si>
  <si>
    <t xml:space="preserve">Tue</t>
  </si>
  <si>
    <t xml:space="preserve">Phase 1</t>
  </si>
  <si>
    <t xml:space="preserve">Induction, safety, code of conduct · BASELINE DIAGNOSTIC (D01)</t>
  </si>
  <si>
    <t xml:space="preserve">HR + Safety Officer + TC</t>
  </si>
  <si>
    <t xml:space="preserve">D02</t>
  </si>
  <si>
    <t xml:space="preserve">02-Sep-26</t>
  </si>
  <si>
    <t xml:space="preserve">Wed</t>
  </si>
  <si>
    <t xml:space="preserve">Reading drawings I — architectural set, grids, levels, symbols</t>
  </si>
  <si>
    <t xml:space="preserve">Design / Planning Head</t>
  </si>
  <si>
    <t xml:space="preserve">D03</t>
  </si>
  <si>
    <t xml:space="preserve">03-Sep-26</t>
  </si>
  <si>
    <t xml:space="preserve">Thu</t>
  </si>
  <si>
    <t xml:space="preserve">Reading drawings II — structural set, column &amp; beam schedules, BBS</t>
  </si>
  <si>
    <t xml:space="preserve">Structural / PMC Lead</t>
  </si>
  <si>
    <t xml:space="preserve">D04</t>
  </si>
  <si>
    <t xml:space="preserve">04-Sep-26</t>
  </si>
  <si>
    <t xml:space="preserve">Fri</t>
  </si>
  <si>
    <t xml:space="preserve">Measurement, mensuration, IS 1200 and the Measurement Book</t>
  </si>
  <si>
    <t xml:space="preserve">Sr. QS</t>
  </si>
  <si>
    <t xml:space="preserve">D05</t>
  </si>
  <si>
    <t xml:space="preserve">05-Sep-26</t>
  </si>
  <si>
    <t xml:space="preserve">Sat</t>
  </si>
  <si>
    <t xml:space="preserve">Land survey &amp; setting out — total station, grids, profiles</t>
  </si>
  <si>
    <t xml:space="preserve">Site Surveyor</t>
  </si>
  <si>
    <t xml:space="preserve">D06</t>
  </si>
  <si>
    <t xml:space="preserve">07-Sep-26</t>
  </si>
  <si>
    <t xml:space="preserve">Mon</t>
  </si>
  <si>
    <t xml:space="preserve">Levels &amp; levelling — auto level, RL, level book, the 1-metre line</t>
  </si>
  <si>
    <t xml:space="preserve">D07</t>
  </si>
  <si>
    <t xml:space="preserve">08-Sep-26</t>
  </si>
  <si>
    <t xml:space="preserve">Cement — types, field tests, lab tests, storage, consumption control</t>
  </si>
  <si>
    <t xml:space="preserve">QC Head</t>
  </si>
  <si>
    <t xml:space="preserve">D08</t>
  </si>
  <si>
    <t xml:space="preserve">09-Sep-26</t>
  </si>
  <si>
    <t xml:space="preserve">Concrete &amp; reinforcement — mix, slump, cubes, BBS, cover</t>
  </si>
  <si>
    <t xml:space="preserve">QC Head + Sr. Engineer</t>
  </si>
  <si>
    <t xml:space="preserve">D09</t>
  </si>
  <si>
    <t xml:space="preserve">10-Sep-26</t>
  </si>
  <si>
    <t xml:space="preserve">Shuttering, masonry &amp; block machinery; stores walkthrough</t>
  </si>
  <si>
    <t xml:space="preserve">D10</t>
  </si>
  <si>
    <t xml:space="preserve">11-Sep-26</t>
  </si>
  <si>
    <t xml:space="preserve">Estimation, BOQ, rate analysis; procurement cycle</t>
  </si>
  <si>
    <t xml:space="preserve">Sr. QS + Purchase Head</t>
  </si>
  <si>
    <t xml:space="preserve">D11</t>
  </si>
  <si>
    <t xml:space="preserve">12-Sep-26</t>
  </si>
  <si>
    <t xml:space="preserve">QC system, NCR, SWA · MONTH 1 CHECKPOINT · pods formed (D11)</t>
  </si>
  <si>
    <t xml:space="preserve">QC Head + Deepti</t>
  </si>
  <si>
    <t xml:space="preserve">D12</t>
  </si>
  <si>
    <t xml:space="preserve">14-Sep-26</t>
  </si>
  <si>
    <t xml:space="preserve">Phase 2</t>
  </si>
  <si>
    <t xml:space="preserve">Dept taster B1 begins — P1 Supervision, P2 Quality, P3 Measurement, P4 Store</t>
  </si>
  <si>
    <t xml:space="preserve">Rajat + dept heads</t>
  </si>
  <si>
    <t xml:space="preserve">D13</t>
  </si>
  <si>
    <t xml:space="preserve">15-Sep-26</t>
  </si>
  <si>
    <t xml:space="preserve">Department taster block</t>
  </si>
  <si>
    <t xml:space="preserve">Dept head</t>
  </si>
  <si>
    <t xml:space="preserve">D14</t>
  </si>
  <si>
    <t xml:space="preserve">16-Sep-26</t>
  </si>
  <si>
    <t xml:space="preserve">D15</t>
  </si>
  <si>
    <t xml:space="preserve">17-Sep-26</t>
  </si>
  <si>
    <t xml:space="preserve">D16</t>
  </si>
  <si>
    <t xml:space="preserve">18-Sep-26</t>
  </si>
  <si>
    <t xml:space="preserve">D17</t>
  </si>
  <si>
    <t xml:space="preserve">19-Sep-26</t>
  </si>
  <si>
    <t xml:space="preserve">Taster B1 ends · Saturday review with Deepti and Sponsor</t>
  </si>
  <si>
    <t xml:space="preserve">Deepti</t>
  </si>
  <si>
    <t xml:space="preserve">D18</t>
  </si>
  <si>
    <t xml:space="preserve">21-Sep-26</t>
  </si>
  <si>
    <t xml:space="preserve">Taster B2 begins — P1 Quality, P2 Measurement, P3 Store, P4 Supervision</t>
  </si>
  <si>
    <t xml:space="preserve">D19</t>
  </si>
  <si>
    <t xml:space="preserve">22-Sep-26</t>
  </si>
  <si>
    <t xml:space="preserve">D20</t>
  </si>
  <si>
    <t xml:space="preserve">23-Sep-26</t>
  </si>
  <si>
    <t xml:space="preserve">D21</t>
  </si>
  <si>
    <t xml:space="preserve">24-Sep-26</t>
  </si>
  <si>
    <t xml:space="preserve">D22</t>
  </si>
  <si>
    <t xml:space="preserve">25-Sep-26</t>
  </si>
  <si>
    <t xml:space="preserve">Taster B2 ends · Saturday review with Deepti and Sponsor</t>
  </si>
  <si>
    <t xml:space="preserve">D23</t>
  </si>
  <si>
    <t xml:space="preserve">26-Sep-26</t>
  </si>
  <si>
    <t xml:space="preserve">Taster B3 begins — P1 Measurement, P2 Store, P3 Supervision, P4 Quality</t>
  </si>
  <si>
    <t xml:space="preserve">D24</t>
  </si>
  <si>
    <t xml:space="preserve">28-Sep-26</t>
  </si>
  <si>
    <t xml:space="preserve">D25</t>
  </si>
  <si>
    <t xml:space="preserve">29-Sep-26</t>
  </si>
  <si>
    <t xml:space="preserve">D26</t>
  </si>
  <si>
    <t xml:space="preserve">30-Sep-26</t>
  </si>
  <si>
    <t xml:space="preserve">Taster B4 · capstone preparation</t>
  </si>
  <si>
    <t xml:space="preserve">Rajat</t>
  </si>
  <si>
    <t xml:space="preserve">Month 2 — Supervised Ownership (1–31 October 2026)</t>
  </si>
  <si>
    <t xml:space="preserve">Milestone</t>
  </si>
  <si>
    <t xml:space="preserve">D27</t>
  </si>
  <si>
    <t xml:space="preserve">01-Oct-26</t>
  </si>
  <si>
    <t xml:space="preserve">Month 2</t>
  </si>
  <si>
    <t xml:space="preserve">Scope handover — each trainee receives a named, bounded scope and a reporting engineer</t>
  </si>
  <si>
    <t xml:space="preserve">Programme Sponsor</t>
  </si>
  <si>
    <t xml:space="preserve">—</t>
  </si>
  <si>
    <t xml:space="preserve">03-Oct-26</t>
  </si>
  <si>
    <t xml:space="preserve">Week 1 review — first independent DPR and checklist submitted</t>
  </si>
  <si>
    <t xml:space="preserve">TC</t>
  </si>
  <si>
    <t xml:space="preserve">10-Oct-26</t>
  </si>
  <si>
    <t xml:space="preserve">Week 2 review — first independent measurement and NCR</t>
  </si>
  <si>
    <t xml:space="preserve">17-Oct-26</t>
  </si>
  <si>
    <t xml:space="preserve">Week 3 review — contractor interaction and productivity tracking</t>
  </si>
  <si>
    <t xml:space="preserve">D45</t>
  </si>
  <si>
    <t xml:space="preserve">22-Oct-26</t>
  </si>
  <si>
    <t xml:space="preserve">MID-POINT REVIEW — band re-confirmed or revised, improvement plans reset</t>
  </si>
  <si>
    <t xml:space="preserve">Sponsor + TC</t>
  </si>
  <si>
    <t xml:space="preserve">24-Oct-26</t>
  </si>
  <si>
    <t xml:space="preserve">Week 4 review — snagging and handover exposure</t>
  </si>
  <si>
    <t xml:space="preserve">D60</t>
  </si>
  <si>
    <t xml:space="preserve">31-Oct-26</t>
  </si>
  <si>
    <t xml:space="preserve">CONFIRMATION REVIEW — 60-day checklist signed, certification, role placement, letters issued</t>
  </si>
  <si>
    <t xml:space="preserve">CEO + Sponsor + HR</t>
  </si>
  <si>
    <t xml:space="preserve">Pods, Departments &amp; Rotation</t>
  </si>
  <si>
    <t xml:space="preserve">Four pods of three. Four departments. Read a row across: in block B1, Pod 1 is in Supervision while Pod 2 is in Quality, Pod 3 in Measurement and Pod 4 in Store. Then everyone moves one place along.</t>
  </si>
  <si>
    <t xml:space="preserve">Block</t>
  </si>
  <si>
    <t xml:space="preserve">Dates</t>
  </si>
  <si>
    <t xml:space="preserve">Pod 1</t>
  </si>
  <si>
    <t xml:space="preserve">Pod 2</t>
  </si>
  <si>
    <t xml:space="preserve">Pod 3</t>
  </si>
  <si>
    <t xml:space="preserve">Pod 4</t>
  </si>
  <si>
    <t xml:space="preserve">B1</t>
  </si>
  <si>
    <t xml:space="preserve">Mon 14 - Thu 17 Sep</t>
  </si>
  <si>
    <t xml:space="preserve">Supervision</t>
  </si>
  <si>
    <t xml:space="preserve">Quality</t>
  </si>
  <si>
    <t xml:space="preserve">Measurement</t>
  </si>
  <si>
    <t xml:space="preserve">Store</t>
  </si>
  <si>
    <t xml:space="preserve">B2</t>
  </si>
  <si>
    <t xml:space="preserve">Fri 18 - Tue 22 Sep</t>
  </si>
  <si>
    <t xml:space="preserve">B3</t>
  </si>
  <si>
    <t xml:space="preserve">Wed 23 - Fri 25 Sep</t>
  </si>
  <si>
    <t xml:space="preserve">B4</t>
  </si>
  <si>
    <t xml:space="preserve">Sat 26 - Tue 29 Sep</t>
  </si>
  <si>
    <t xml:space="preserve">Wed 30 Sep</t>
  </si>
  <si>
    <t xml:space="preserve">Month 1 assessment</t>
  </si>
  <si>
    <t xml:space="preserve">capstone</t>
  </si>
  <si>
    <t xml:space="preserve">aptitude read</t>
  </si>
  <si>
    <t xml:space="preserve">Month 2 allotted</t>
  </si>
  <si>
    <t xml:space="preserve">Months 2 to 4 - department immersions (same pods, a whole month each)</t>
  </si>
  <si>
    <t xml:space="preserve">Period</t>
  </si>
  <si>
    <t xml:space="preserve">When</t>
  </si>
  <si>
    <t xml:space="preserve">October 2026</t>
  </si>
  <si>
    <t xml:space="preserve">Month 3</t>
  </si>
  <si>
    <t xml:space="preserve">November 2026</t>
  </si>
  <si>
    <t xml:space="preserve">Month 4</t>
  </si>
  <si>
    <t xml:space="preserve">December 2026</t>
  </si>
  <si>
    <t xml:space="preserve">Last week</t>
  </si>
  <si>
    <t xml:space="preserve">Three months deep in three departments, then one week in the fourth so nobody reaches the Gateway with a blank space. Every department hosts exactly one pod at a time, which is what makes this affordable in supervision time.</t>
  </si>
  <si>
    <t xml:space="preserve">The four departments</t>
  </si>
  <si>
    <t xml:space="preserve">Dept</t>
  </si>
  <si>
    <t xml:space="preserve">What the job is</t>
  </si>
  <si>
    <t xml:space="preserve">Handbook modules</t>
  </si>
  <si>
    <t xml:space="preserve">Department head</t>
  </si>
  <si>
    <t xml:space="preserve">Getting work built correctly and on time, by people who do not report to you.</t>
  </si>
  <si>
    <t xml:space="preserve">M04 M05 M08 M09 M10 M11 M13 M14 M15 M21</t>
  </si>
  <si>
    <t xml:space="preserve">Sr. Engineer (Structures) + PM</t>
  </si>
  <si>
    <t xml:space="preserve">Deciding whether what was built is acceptable, and stopping it when it is not.</t>
  </si>
  <si>
    <t xml:space="preserve">M01 M06 M07 M12 M19 M22</t>
  </si>
  <si>
    <t xml:space="preserve">Turning built work into numbers that can be paid.</t>
  </si>
  <si>
    <t xml:space="preserve">M02 M03 M17 M18</t>
  </si>
  <si>
    <t xml:space="preserve">Senior QS</t>
  </si>
  <si>
    <t xml:space="preserve">Controlling the 55-70% of project cost that passes through the store.</t>
  </si>
  <si>
    <t xml:space="preserve">M16 + procurement cycle</t>
  </si>
  <si>
    <t xml:space="preserve">Store In-charge + Purchase Head</t>
  </si>
  <si>
    <t xml:space="preserve">Pod assignment - fill on 12 Sep, after the checkpoint</t>
  </si>
  <si>
    <t xml:space="preserve">Trainee 1</t>
  </si>
  <si>
    <t xml:space="preserve">Trainee 2</t>
  </si>
  <si>
    <t xml:space="preserve">Trainee 3</t>
  </si>
  <si>
    <t xml:space="preserve">POD COMPOSITION RULE</t>
  </si>
  <si>
    <t xml:space="preserve">One strong, one middle and one developing trainee in every pod. Do not put the three quickest together - you get one pod that races ahead, three that stall, and no peer teaching anywhere.</t>
  </si>
  <si>
    <t xml:space="preserve">One site buddy per pod of three. Three is the maximum one person can genuinely supervise on a live site; it is a safety limit as much as a teaching one.</t>
  </si>
  <si>
    <t xml:space="preserve">Pods stay together for the whole of Phase 1. Rebalance only if a pod is clearly dragging, and only at a month boundary.</t>
  </si>
  <si>
    <t xml:space="preserve">Trainer &amp; Ownership Matrix</t>
  </si>
  <si>
    <t xml:space="preserve">Module numbers match the Trainee Handbook (M01–M22). Recommended by ROLE — fill column D with the actual person. Read the selection rule at the bottom before you assign anyone.</t>
  </si>
  <si>
    <t xml:space="preserve">Ref</t>
  </si>
  <si>
    <t xml:space="preserve">Module</t>
  </si>
  <si>
    <t xml:space="preserve">Recommended trainer (role)</t>
  </si>
  <si>
    <t xml:space="preserve">Assigned name</t>
  </si>
  <si>
    <t xml:space="preserve">Why this role</t>
  </si>
  <si>
    <t xml:space="preserve">M01</t>
  </si>
  <si>
    <t xml:space="preserve">Site Safety &amp; EHS</t>
  </si>
  <si>
    <t xml:space="preserve">Safety Officer / EHS Lead</t>
  </si>
  <si>
    <t xml:space="preserve">Owns the standard and the permits; must be the face of it from Day 1</t>
  </si>
  <si>
    <t xml:space="preserve">M02</t>
  </si>
  <si>
    <t xml:space="preserve">Reading Drawings (D02 architectural + D03 structural &amp; BBS)</t>
  </si>
  <si>
    <t xml:space="preserve">Design/Planning Head + Structural Engineer</t>
  </si>
  <si>
    <t xml:space="preserve">Two days, two teachers: the Planning Head issues the drawings, the structural engineer explains consultant intent</t>
  </si>
  <si>
    <t xml:space="preserve">M03</t>
  </si>
  <si>
    <t xml:space="preserve">Measurement, IS 1200 &amp; the Measurement Book</t>
  </si>
  <si>
    <t xml:space="preserve">Senior Quantity Surveyor</t>
  </si>
  <si>
    <t xml:space="preserve">MB discipline is a QS competency, not a site-engineer one</t>
  </si>
  <si>
    <t xml:space="preserve">M04</t>
  </si>
  <si>
    <t xml:space="preserve">Land Survey &amp; Setting Out</t>
  </si>
  <si>
    <t xml:space="preserve">Instrument skill can only be taught hands-on by the person who uses it daily</t>
  </si>
  <si>
    <t xml:space="preserve">M05</t>
  </si>
  <si>
    <t xml:space="preserve">Levels &amp; Levelling</t>
  </si>
  <si>
    <t xml:space="preserve">Same instrument, same person, continuity of method</t>
  </si>
  <si>
    <t xml:space="preserve">M06</t>
  </si>
  <si>
    <t xml:space="preserve">Cement &amp; Cement Testing</t>
  </si>
  <si>
    <t xml:space="preserve">QC Head / Lab In-charge</t>
  </si>
  <si>
    <t xml:space="preserve">Owns the test regime and the acceptance decision</t>
  </si>
  <si>
    <t xml:space="preserve">M07</t>
  </si>
  <si>
    <t xml:space="preserve">Concrete &amp; Concrete Testing</t>
  </si>
  <si>
    <t xml:space="preserve">QC Head + Sr. Engineer (Structures)</t>
  </si>
  <si>
    <t xml:space="preserve">Theory from QC, pour discipline from the engineer who runs pours</t>
  </si>
  <si>
    <t xml:space="preserve">M08</t>
  </si>
  <si>
    <t xml:space="preserve">Reinforcement Steel &amp; BBS</t>
  </si>
  <si>
    <t xml:space="preserve">Bar fixing supervision is a daily execution skill</t>
  </si>
  <si>
    <t xml:space="preserve">M09</t>
  </si>
  <si>
    <t xml:space="preserve">Shuttering &amp; Formwork</t>
  </si>
  <si>
    <t xml:space="preserve">Sr. Engineer — Structures / Formwork In-charge</t>
  </si>
  <si>
    <t xml:space="preserve">Deshuttering judgement cannot be taught from a table</t>
  </si>
  <si>
    <t xml:space="preserve">M10</t>
  </si>
  <si>
    <t xml:space="preserve">Brick, Block &amp; Masonry Machinery</t>
  </si>
  <si>
    <t xml:space="preserve">Sr. Engineer — Finishing</t>
  </si>
  <si>
    <t xml:space="preserve">Owns the trade and the machinery on site</t>
  </si>
  <si>
    <t xml:space="preserve">M11</t>
  </si>
  <si>
    <t xml:space="preserve">Plastering</t>
  </si>
  <si>
    <t xml:space="preserve">Dots, screeds and tap-testing are learned by hand</t>
  </si>
  <si>
    <t xml:space="preserve">M12</t>
  </si>
  <si>
    <t xml:space="preserve">Waterproofing</t>
  </si>
  <si>
    <t xml:space="preserve">QC Head + waterproofing agency</t>
  </si>
  <si>
    <t xml:space="preserve">The agency knows the system; QC owns the acceptance and the record</t>
  </si>
  <si>
    <t xml:space="preserve">M13</t>
  </si>
  <si>
    <t xml:space="preserve">Tiling &amp; Flooring</t>
  </si>
  <si>
    <t xml:space="preserve">Layout judgement is the whole skill</t>
  </si>
  <si>
    <t xml:space="preserve">M14</t>
  </si>
  <si>
    <t xml:space="preserve">Plumbing &amp; Sanitary</t>
  </si>
  <si>
    <t xml:space="preserve">MEP Engineer</t>
  </si>
  <si>
    <t xml:space="preserve">Test discipline before concealment is the entire module</t>
  </si>
  <si>
    <t xml:space="preserve">M15</t>
  </si>
  <si>
    <t xml:space="preserve">Electrical</t>
  </si>
  <si>
    <t xml:space="preserve">MEP Engineer / Licensed Electrical Engineer</t>
  </si>
  <si>
    <t xml:space="preserve">Statutory competence required; do not delegate below this level</t>
  </si>
  <si>
    <t xml:space="preserve">M16</t>
  </si>
  <si>
    <t xml:space="preserve">Stores &amp; Inventory Management</t>
  </si>
  <si>
    <t xml:space="preserve">Physical process from the store, commercial process from purchase</t>
  </si>
  <si>
    <t xml:space="preserve">M17</t>
  </si>
  <si>
    <t xml:space="preserve">Estimation, BOQ &amp; Rate Analysis</t>
  </si>
  <si>
    <t xml:space="preserve">Rate analysis is where site engineers are weakest and most exploited</t>
  </si>
  <si>
    <t xml:space="preserve">M18</t>
  </si>
  <si>
    <t xml:space="preserve">Quantity Surveying &amp; Contractor Billing</t>
  </si>
  <si>
    <t xml:space="preserve">Senior QS + Accounts</t>
  </si>
  <si>
    <t xml:space="preserve">Deductions and recoveries need the accounts view too</t>
  </si>
  <si>
    <t xml:space="preserve">M19</t>
  </si>
  <si>
    <t xml:space="preserve">QC — Checklists, NCR &amp; Stop-Work Authority</t>
  </si>
  <si>
    <t xml:space="preserve">QC Head + Programme Sponsor</t>
  </si>
  <si>
    <t xml:space="preserve">Policy weight requires the Sponsor in the room, not just the QC Head</t>
  </si>
  <si>
    <t xml:space="preserve">M20</t>
  </si>
  <si>
    <t xml:space="preserve">Site Documentation, Reporting &amp; Digital Discipline</t>
  </si>
  <si>
    <t xml:space="preserve">Planning Engineer + TC</t>
  </si>
  <si>
    <t xml:space="preserve">TC must own this because TC enforces it every evening</t>
  </si>
  <si>
    <t xml:space="preserve">M21</t>
  </si>
  <si>
    <t xml:space="preserve">Labour, Contractor &amp; Site Management</t>
  </si>
  <si>
    <t xml:space="preserve">Project Manager</t>
  </si>
  <si>
    <t xml:space="preserve">Only someone who has actually managed contractors can teach this credibly</t>
  </si>
  <si>
    <t xml:space="preserve">M22</t>
  </si>
  <si>
    <t xml:space="preserve">Snagging, Handover &amp; Customer Quality</t>
  </si>
  <si>
    <t xml:space="preserve">Quality Head + CRM/Handover Lead</t>
  </si>
  <si>
    <t xml:space="preserve">The customer-facing view is what makes it land</t>
  </si>
  <si>
    <t xml:space="preserve">Total trainer hours across the programme</t>
  </si>
  <si>
    <t xml:space="preserve">Roughly 5–7 working days of senior time in total, spread across ~12 people. That is the real cost of this programme.</t>
  </si>
  <si>
    <t xml:space="preserve">TRAINER SELECTION RULE — read before assigning anyone</t>
  </si>
  <si>
    <t xml:space="preserve">1. Do not assign anyone who has ever been the subject of a show-cause notice on checklist or inspection discipline. A trainer transmits habits, not just content.</t>
  </si>
  <si>
    <t xml:space="preserve">2. Do not assign a trainer to a module they have not personally executed in the last twelve months.</t>
  </si>
  <si>
    <t xml:space="preserve">3. Each trainer gets a fixed 90-minute afternoon window and one field drill. They are not pulled off site for a day. This is what makes the programme affordable.</t>
  </si>
  <si>
    <t xml:space="preserve">4. The Training Coordinator sits in on every session in the first week and spot-checks after that. Trainer quality is audited, not assumed.</t>
  </si>
  <si>
    <t xml:space="preserve">5. If a role is vacant or the person is unavailable, the Programme Sponsor teaches it. The module does not get dropped and it does not get moved.</t>
  </si>
  <si>
    <t xml:space="preserve">Attendance Register</t>
  </si>
  <si>
    <t xml:space="preserve">Enter P (present), A (absent), L (leave), H (half day). Filled at 17:30 daily by the Training Coordinator.</t>
  </si>
  <si>
    <t xml:space="preserve">Wd</t>
  </si>
  <si>
    <t xml:space="preserve">% Present</t>
  </si>
  <si>
    <t xml:space="preserve">P</t>
  </si>
  <si>
    <t xml:space="preserve">Days present</t>
  </si>
  <si>
    <t xml:space="preserve">Attendance %</t>
  </si>
  <si>
    <t xml:space="preserve">Daily Log Quality Score</t>
  </si>
  <si>
    <t xml:space="preserve">Rated 1–5 by the Training Coordinator at the 17:00 log review, in front of the trainee. 5 = a colleague who was not on site could reconstruct the day from it. 1 = no numbers, no locations, no question.</t>
  </si>
  <si>
    <t xml:space="preserve">Batch avg</t>
  </si>
  <si>
    <t xml:space="preserve">Average</t>
  </si>
  <si>
    <t xml:space="preserve">Trend (last 8 vs first 8)</t>
  </si>
  <si>
    <t xml:space="preserve">A positive trend is the point. A trainee whose log score is flat for three weeks is not being corrected — that is a Training Coordinator failure, not a trainee failure.</t>
  </si>
  <si>
    <t xml:space="preserve">Weekly Ratings</t>
  </si>
  <si>
    <t xml:space="preserve">Site Buddy rating (1–5: initiative, discipline, safety behaviour, punctuality, how they take correction) and the weekly module test (out of 20). Filled every Saturday before the Sponsor review.</t>
  </si>
  <si>
    <t xml:space="preserve">Wk1
Buddy /5</t>
  </si>
  <si>
    <t xml:space="preserve">Wk1
Test /20</t>
  </si>
  <si>
    <t xml:space="preserve">Wk2
Buddy /5</t>
  </si>
  <si>
    <t xml:space="preserve">Wk2
Test /20</t>
  </si>
  <si>
    <t xml:space="preserve">Wk3
Buddy /5</t>
  </si>
  <si>
    <t xml:space="preserve">Wk3
Test /20</t>
  </si>
  <si>
    <t xml:space="preserve">Wk4
Buddy /5</t>
  </si>
  <si>
    <t xml:space="preserve">Wk4
Test /20</t>
  </si>
  <si>
    <t xml:space="preserve">Buddy avg</t>
  </si>
  <si>
    <t xml:space="preserve">Test avg %</t>
  </si>
  <si>
    <t xml:space="preserve">Note: Wk1 has 5 working days, Wk2 has 6, Wk3 has 6, Wk4 has 9. The averages are per-week, not per-day, so the weeks weigh equally.</t>
  </si>
  <si>
    <t xml:space="preserve">Month 1 Checkpoint Assessment — D11, Saturday 12 September 2026</t>
  </si>
  <si>
    <t xml:space="preserve">100 marks: 40 written (from the handbook self-check questions), 30 practical field task, 30 behavioural &amp; situational. Marked by the QC Head and Deepti independently, then reconciled. This is a checkpoint, not a gate — the Gateway is Month 5. Pods are formed from this result.</t>
  </si>
  <si>
    <t xml:space="preserve">Baseline D01 /100</t>
  </si>
  <si>
    <t xml:space="preserve">Written /40</t>
  </si>
  <si>
    <t xml:space="preserve">Practical /30</t>
  </si>
  <si>
    <t xml:space="preserve">Behavioural /30</t>
  </si>
  <si>
    <t xml:space="preserve">Checkpt /100</t>
  </si>
  <si>
    <t xml:space="preserve">Velocity</t>
  </si>
  <si>
    <t xml:space="preserve">Marker's one-line judgement</t>
  </si>
  <si>
    <t xml:space="preserve">Velocity = normalised gain = (Gate − Baseline) ÷ (100 − Baseline) × 100. It measures the share of available improvement the trainee actually captured, which is what 'learning speed' means once you control for where they started.</t>
  </si>
  <si>
    <t xml:space="preserve">The one-line judgement column is mandatory. A number without a sentence tells you nothing you can act on in the D11 conversation.</t>
  </si>
  <si>
    <t xml:space="preserve">Month 1 Final Scorecard — D26, Wednesday 30 September 2026</t>
  </si>
  <si>
    <t xml:space="preserve">Weighted total per the weights in row 4 (editable, blue). Bands and Month 2 scope levels follow the rule in the README. Feeds the department aptitude read and the Month 2 immersion allotment.</t>
  </si>
  <si>
    <t xml:space="preserve">Weights →</t>
  </si>
  <si>
    <t xml:space="preserve">must total 100%</t>
  </si>
  <si>
    <t xml:space="preserve">Log /5</t>
  </si>
  <si>
    <t xml:space="preserve">Buddy /5</t>
  </si>
  <si>
    <t xml:space="preserve">Test /20</t>
  </si>
  <si>
    <t xml:space="preserve">Dept drills /100</t>
  </si>
  <si>
    <t xml:space="preserve">Capstone /100</t>
  </si>
  <si>
    <t xml:space="preserve">FINAL /100</t>
  </si>
  <si>
    <t xml:space="preserve">Band</t>
  </si>
  <si>
    <t xml:space="preserve">Month 2 scope level</t>
  </si>
  <si>
    <t xml:space="preserve">Dept drills /100 = the average of the four field-drill outputs from the September department blocks, marked by each department head.</t>
  </si>
  <si>
    <t xml:space="preserve">Capstone /100 = the 10-minute D26 presentation on one real problem found on site and the recommendation, marked by Rahul, the Sponsor and Deepti.</t>
  </si>
  <si>
    <t xml:space="preserve">A trainee in band D at D26 should already have heard it at D11. The Gateway in Month 5 is the exit point - but nobody should reach it surprised.</t>
  </si>
  <si>
    <t xml:space="preserve">Months 2 to 4 - Department Immersions</t>
  </si>
  <si>
    <t xml:space="preserve">Filled at the 30 Sep placement meeting. The department columns follow the pod rotation in the Rotation sheet; the scope and reporting engineer are decided per trainee.</t>
  </si>
  <si>
    <t xml:space="preserve">Month 2 dept</t>
  </si>
  <si>
    <t xml:space="preserve">Month 3 dept</t>
  </si>
  <si>
    <t xml:space="preserve">Month 4 dept</t>
  </si>
  <si>
    <t xml:space="preserve">Reporting engineer</t>
  </si>
  <si>
    <t xml:space="preserve">Month 2 scope (be specific)</t>
  </si>
  <si>
    <t xml:space="preserve">Zen Garden Tower 1, floors 4-5, masonry and plaster (example)</t>
  </si>
  <si>
    <t xml:space="preserve">SCOPE DESIGN RULE</t>
  </si>
  <si>
    <t xml:space="preserve">Small enough that the trainee can actually control it; real enough that getting it wrong shows. One floor of one trade is right. 'Assist the Site Engineer' is not a scope and teaches nothing - it is the default every trainee programme drifts into, and it is why most of them produce nothing.</t>
  </si>
  <si>
    <t xml:space="preserve">What ownership looks like in each department: in Store, they own the reconciliation of two materials for the month and sign it. In Quality, the checklists for one floor. In Measurement, the take-off for one flat type. In Supervision, one trade on one floor.</t>
  </si>
  <si>
    <t xml:space="preserve">Write the reporting engineer's accountability for their trainee into that engineer's own monthly objectives. Otherwise it competes with site work and loses.</t>
  </si>
  <si>
    <t xml:space="preserve">Each immersion ends with a written review by the department head. Three independent opinions per trainee by December is what makes the Gateway allotment defensible.</t>
  </si>
  <si>
    <t xml:space="preserve">Phase 1 milestones after September</t>
  </si>
  <si>
    <t xml:space="preserve">31 Oct 2026</t>
  </si>
  <si>
    <t xml:space="preserve">Month 2 immersion review - written, by the department head</t>
  </si>
  <si>
    <t xml:space="preserve">Dept head + Deepti</t>
  </si>
  <si>
    <t xml:space="preserve">30 Nov 2026</t>
  </si>
  <si>
    <t xml:space="preserve">Month 3 immersion review</t>
  </si>
  <si>
    <t xml:space="preserve">24 Dec 2026</t>
  </si>
  <si>
    <t xml:space="preserve">Month 4 immersion review; catch-up week in the fourth department begins</t>
  </si>
  <si>
    <t xml:space="preserve">31 Dec 2026</t>
  </si>
  <si>
    <t xml:space="preserve">Gateway briefing - every trainee told exactly what the assessment covers</t>
  </si>
  <si>
    <t xml:space="preserve">Week 1 Jan 2027</t>
  </si>
  <si>
    <t xml:space="preserve">GATEWAY ASSESSMENT - theory and practical</t>
  </si>
  <si>
    <t xml:space="preserve">Rahul + Deepti + QC Head</t>
  </si>
  <si>
    <t xml:space="preserve">Jan 2027</t>
  </si>
  <si>
    <t xml:space="preserve">Department allotment issued in writing</t>
  </si>
  <si>
    <t xml:space="preserve">Rahul + HR</t>
  </si>
  <si>
    <t xml:space="preserve">31 May 2027</t>
  </si>
  <si>
    <t xml:space="preserve">End of 9-month probation - confirmation letters and revised terms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</si>
</sst>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0.0"/>
    <numFmt numFmtId="168" formatCode="0.00"/>
    <numFmt numFmtId="169" formatCode="\+0.00;\-0.00;0.00"/>
    <numFmt numFmtId="170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55B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1"/>
      <color rgb="FFB3641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235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2355B"/>
      <name val="Arial"/>
      <family val="0"/>
      <charset val="1"/>
    </font>
    <font>
      <b val="true"/>
      <sz val="10"/>
      <color rgb="FFB3641C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2355B"/>
        <bgColor rgb="FF222222"/>
      </patternFill>
    </fill>
    <fill>
      <patternFill patternType="solid">
        <fgColor rgb="FFFFFFCC"/>
        <bgColor rgb="FFFDF0D5"/>
      </patternFill>
    </fill>
    <fill>
      <patternFill patternType="solid">
        <fgColor rgb="FFF5F8FA"/>
        <bgColor rgb="FFEEF2F6"/>
      </patternFill>
    </fill>
    <fill>
      <patternFill patternType="solid">
        <fgColor rgb="FFEEF2F6"/>
        <bgColor rgb="FFF5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CF"/>
      </left>
      <right style="thin">
        <color rgb="FFB7C4CF"/>
      </right>
      <top style="thin">
        <color rgb="FFB7C4CF"/>
      </top>
      <bottom style="thin">
        <color rgb="FFB7C4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6EAD6"/>
        </patternFill>
      </fill>
    </dxf>
    <dxf>
      <fill>
        <patternFill>
          <bgColor rgb="FFFDF0D5"/>
        </patternFill>
      </fill>
    </dxf>
    <dxf>
      <fill>
        <patternFill>
          <bgColor rgb="FFF6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641C"/>
      <rgbColor rgb="FF800080"/>
      <rgbColor rgb="FF008080"/>
      <rgbColor rgb="FFB7C4CF"/>
      <rgbColor rgb="FF808080"/>
      <rgbColor rgb="FF9999FF"/>
      <rgbColor rgb="FF993366"/>
      <rgbColor rgb="FFFFFFCC"/>
      <rgbColor rgb="FFEEF2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A"/>
      <rgbColor rgb="FFD6EAD6"/>
      <rgbColor rgb="FFFDF0D5"/>
      <rgbColor rgb="FF99CCFF"/>
      <rgbColor rgb="FFFF99CC"/>
      <rgbColor rgb="FFCC99FF"/>
      <rgbColor rgb="FFF6D9D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12355B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4" t="s">
        <v>10</v>
      </c>
      <c r="B10" s="5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23.8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4" t="s">
        <v>19</v>
      </c>
      <c r="B16" s="5" t="s">
        <v>20</v>
      </c>
    </row>
    <row r="17" customFormat="false" ht="15" hidden="false" customHeight="false" outlineLevel="0" collapsed="false">
      <c r="A17" s="4" t="s">
        <v>21</v>
      </c>
      <c r="B17" s="5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19" customFormat="false" ht="45" hidden="false" customHeight="true" outlineLevel="0" collapsed="false">
      <c r="A19" s="3"/>
    </row>
    <row r="20" customFormat="false" ht="15" hidden="false" customHeight="false" outlineLevel="0" collapsed="false">
      <c r="A20" s="3" t="s">
        <v>25</v>
      </c>
    </row>
    <row r="21" customFormat="false" ht="15" hidden="false" customHeight="false" outlineLevel="0" collapsed="false">
      <c r="A21" s="4" t="s">
        <v>26</v>
      </c>
      <c r="B21" s="5" t="s">
        <v>27</v>
      </c>
    </row>
    <row r="22" customFormat="false" ht="15" hidden="false" customHeight="false" outlineLevel="0" collapsed="false">
      <c r="A22" s="4" t="s">
        <v>28</v>
      </c>
      <c r="B22" s="5" t="s">
        <v>29</v>
      </c>
    </row>
    <row r="23" customFormat="false" ht="23.85" hidden="false" customHeight="false" outlineLevel="0" collapsed="false">
      <c r="A23" s="4" t="s">
        <v>30</v>
      </c>
      <c r="B23" s="5" t="s">
        <v>31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 t="s">
        <v>32</v>
      </c>
    </row>
    <row r="26" customFormat="false" ht="15" hidden="false" customHeight="false" outlineLevel="0" collapsed="false">
      <c r="A26" s="4" t="s">
        <v>33</v>
      </c>
      <c r="B26" s="5" t="s">
        <v>34</v>
      </c>
    </row>
    <row r="27" customFormat="false" ht="27.75" hidden="false" customHeight="true" outlineLevel="0" collapsed="false">
      <c r="A27" s="4" t="s">
        <v>35</v>
      </c>
      <c r="B27" s="5" t="s">
        <v>36</v>
      </c>
    </row>
    <row r="28" customFormat="false" ht="15" hidden="false" customHeight="false" outlineLevel="0" collapsed="false">
      <c r="A28" s="4" t="s">
        <v>37</v>
      </c>
      <c r="B28" s="5" t="s">
        <v>38</v>
      </c>
    </row>
    <row r="29" customFormat="false" ht="23.85" hidden="false" customHeight="false" outlineLevel="0" collapsed="false">
      <c r="A29" s="4" t="s">
        <v>39</v>
      </c>
      <c r="B29" s="5" t="s">
        <v>40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 t="s">
        <v>41</v>
      </c>
    </row>
    <row r="32" customFormat="false" ht="23.85" hidden="false" customHeight="false" outlineLevel="0" collapsed="false">
      <c r="A32" s="4" t="s">
        <v>42</v>
      </c>
      <c r="B32" s="5" t="s">
        <v>43</v>
      </c>
    </row>
    <row r="33" customFormat="false" ht="15" hidden="false" customHeight="false" outlineLevel="0" collapsed="false">
      <c r="A33" s="4" t="s">
        <v>44</v>
      </c>
      <c r="B33" s="5" t="s">
        <v>45</v>
      </c>
    </row>
    <row r="34" customFormat="false" ht="15" hidden="false" customHeight="false" outlineLevel="0" collapsed="false">
      <c r="A34" s="4" t="s">
        <v>46</v>
      </c>
      <c r="B34" s="5" t="s">
        <v>47</v>
      </c>
    </row>
    <row r="35" customFormat="false" ht="15" hidden="false" customHeight="false" outlineLevel="0" collapsed="false">
      <c r="A35" s="4" t="s">
        <v>48</v>
      </c>
      <c r="B35" s="5" t="s">
        <v>49</v>
      </c>
    </row>
    <row r="36" customFormat="false" ht="15" hidden="false" customHeight="false" outlineLevel="0" collapsed="false">
      <c r="A36" s="4" t="s">
        <v>50</v>
      </c>
      <c r="B36" s="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6" t="s">
        <v>52</v>
      </c>
    </row>
    <row r="2" customFormat="false" ht="15" hidden="false" customHeight="false" outlineLevel="0" collapsed="false">
      <c r="A2" s="2" t="s">
        <v>53</v>
      </c>
    </row>
    <row r="4" customFormat="false" ht="30" hidden="false" customHeight="true" outlineLevel="0" collapsed="false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</row>
    <row r="5" customFormat="false" ht="15" hidden="false" customHeight="false" outlineLevel="0" collapsed="false">
      <c r="A5" s="8" t="s">
        <v>61</v>
      </c>
      <c r="B5" s="9" t="s">
        <v>62</v>
      </c>
      <c r="C5" s="9" t="s">
        <v>63</v>
      </c>
      <c r="D5" s="9" t="s">
        <v>64</v>
      </c>
      <c r="E5" s="9" t="s">
        <v>65</v>
      </c>
      <c r="F5" s="10" t="s">
        <v>66</v>
      </c>
      <c r="G5" s="9"/>
    </row>
    <row r="6" customFormat="false" ht="15" hidden="false" customHeight="false" outlineLevel="0" collapsed="false">
      <c r="A6" s="8" t="s">
        <v>67</v>
      </c>
      <c r="B6" s="9"/>
      <c r="C6" s="9"/>
      <c r="D6" s="9"/>
      <c r="E6" s="9"/>
      <c r="F6" s="10" t="s">
        <v>66</v>
      </c>
      <c r="G6" s="9"/>
    </row>
    <row r="7" customFormat="false" ht="15" hidden="false" customHeight="false" outlineLevel="0" collapsed="false">
      <c r="A7" s="8" t="s">
        <v>68</v>
      </c>
      <c r="B7" s="9"/>
      <c r="C7" s="9"/>
      <c r="D7" s="9"/>
      <c r="E7" s="9"/>
      <c r="F7" s="10" t="s">
        <v>66</v>
      </c>
      <c r="G7" s="9"/>
    </row>
    <row r="8" customFormat="false" ht="15" hidden="false" customHeight="false" outlineLevel="0" collapsed="false">
      <c r="A8" s="8" t="s">
        <v>69</v>
      </c>
      <c r="B8" s="9"/>
      <c r="C8" s="9"/>
      <c r="D8" s="9"/>
      <c r="E8" s="9"/>
      <c r="F8" s="10" t="s">
        <v>66</v>
      </c>
      <c r="G8" s="9"/>
    </row>
    <row r="9" customFormat="false" ht="15" hidden="false" customHeight="false" outlineLevel="0" collapsed="false">
      <c r="A9" s="8" t="s">
        <v>70</v>
      </c>
      <c r="B9" s="9"/>
      <c r="C9" s="9"/>
      <c r="D9" s="9"/>
      <c r="E9" s="9"/>
      <c r="F9" s="10" t="s">
        <v>66</v>
      </c>
      <c r="G9" s="9"/>
    </row>
    <row r="10" customFormat="false" ht="15" hidden="false" customHeight="false" outlineLevel="0" collapsed="false">
      <c r="A10" s="8" t="s">
        <v>71</v>
      </c>
      <c r="B10" s="9"/>
      <c r="C10" s="9"/>
      <c r="D10" s="9"/>
      <c r="E10" s="9"/>
      <c r="F10" s="10" t="s">
        <v>66</v>
      </c>
      <c r="G10" s="9"/>
    </row>
    <row r="11" customFormat="false" ht="15" hidden="false" customHeight="false" outlineLevel="0" collapsed="false">
      <c r="A11" s="8" t="s">
        <v>72</v>
      </c>
      <c r="B11" s="9"/>
      <c r="C11" s="9"/>
      <c r="D11" s="9"/>
      <c r="E11" s="9"/>
      <c r="F11" s="10" t="s">
        <v>66</v>
      </c>
      <c r="G11" s="9"/>
    </row>
    <row r="12" customFormat="false" ht="15" hidden="false" customHeight="false" outlineLevel="0" collapsed="false">
      <c r="A12" s="8" t="s">
        <v>73</v>
      </c>
      <c r="B12" s="9"/>
      <c r="C12" s="9"/>
      <c r="D12" s="9"/>
      <c r="E12" s="9"/>
      <c r="F12" s="10" t="s">
        <v>66</v>
      </c>
      <c r="G12" s="9"/>
    </row>
    <row r="13" customFormat="false" ht="15" hidden="false" customHeight="false" outlineLevel="0" collapsed="false">
      <c r="A13" s="8" t="s">
        <v>74</v>
      </c>
      <c r="B13" s="9"/>
      <c r="C13" s="9"/>
      <c r="D13" s="9"/>
      <c r="E13" s="9"/>
      <c r="F13" s="10" t="s">
        <v>66</v>
      </c>
      <c r="G13" s="9"/>
    </row>
    <row r="14" customFormat="false" ht="15" hidden="false" customHeight="false" outlineLevel="0" collapsed="false">
      <c r="A14" s="8" t="s">
        <v>75</v>
      </c>
      <c r="B14" s="9"/>
      <c r="C14" s="9"/>
      <c r="D14" s="9"/>
      <c r="E14" s="9"/>
      <c r="F14" s="10" t="s">
        <v>66</v>
      </c>
      <c r="G14" s="9"/>
    </row>
    <row r="15" customFormat="false" ht="15" hidden="false" customHeight="false" outlineLevel="0" collapsed="false">
      <c r="A15" s="8" t="s">
        <v>76</v>
      </c>
      <c r="B15" s="9"/>
      <c r="C15" s="9"/>
      <c r="D15" s="9"/>
      <c r="E15" s="9"/>
      <c r="F15" s="10" t="s">
        <v>66</v>
      </c>
      <c r="G15" s="9"/>
    </row>
    <row r="16" customFormat="false" ht="15" hidden="false" customHeight="false" outlineLevel="0" collapsed="false">
      <c r="A16" s="8" t="s">
        <v>77</v>
      </c>
      <c r="B16" s="9"/>
      <c r="C16" s="9"/>
      <c r="D16" s="9"/>
      <c r="E16" s="9"/>
      <c r="F16" s="10" t="s">
        <v>66</v>
      </c>
      <c r="G16" s="9"/>
    </row>
    <row r="18" customFormat="false" ht="15" hidden="false" customHeight="false" outlineLevel="0" collapsed="false">
      <c r="A18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6" t="s">
        <v>79</v>
      </c>
    </row>
    <row r="2" customFormat="false" ht="15" hidden="false" customHeight="false" outlineLevel="0" collapsed="false">
      <c r="A2" s="2" t="s">
        <v>80</v>
      </c>
    </row>
    <row r="4" customFormat="false" ht="30" hidden="false" customHeight="true" outlineLevel="0" collapsed="false">
      <c r="A4" s="7" t="s">
        <v>81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customFormat="false" ht="15" hidden="false" customHeight="false" outlineLevel="0" collapsed="false">
      <c r="A5" s="8" t="s">
        <v>87</v>
      </c>
      <c r="B5" s="11" t="s">
        <v>88</v>
      </c>
      <c r="C5" s="11" t="s">
        <v>89</v>
      </c>
      <c r="D5" s="11" t="s">
        <v>90</v>
      </c>
      <c r="E5" s="10" t="s">
        <v>91</v>
      </c>
      <c r="F5" s="10" t="s">
        <v>92</v>
      </c>
    </row>
    <row r="6" customFormat="false" ht="15" hidden="false" customHeight="false" outlineLevel="0" collapsed="false">
      <c r="A6" s="12" t="s">
        <v>93</v>
      </c>
      <c r="B6" s="13" t="s">
        <v>94</v>
      </c>
      <c r="C6" s="13" t="s">
        <v>95</v>
      </c>
      <c r="D6" s="13" t="s">
        <v>90</v>
      </c>
      <c r="E6" s="14" t="s">
        <v>96</v>
      </c>
      <c r="F6" s="14" t="s">
        <v>97</v>
      </c>
    </row>
    <row r="7" customFormat="false" ht="15" hidden="false" customHeight="false" outlineLevel="0" collapsed="false">
      <c r="A7" s="8" t="s">
        <v>98</v>
      </c>
      <c r="B7" s="11" t="s">
        <v>99</v>
      </c>
      <c r="C7" s="11" t="s">
        <v>100</v>
      </c>
      <c r="D7" s="11" t="s">
        <v>90</v>
      </c>
      <c r="E7" s="10" t="s">
        <v>101</v>
      </c>
      <c r="F7" s="10" t="s">
        <v>102</v>
      </c>
    </row>
    <row r="8" customFormat="false" ht="15" hidden="false" customHeight="false" outlineLevel="0" collapsed="false">
      <c r="A8" s="12" t="s">
        <v>103</v>
      </c>
      <c r="B8" s="13" t="s">
        <v>104</v>
      </c>
      <c r="C8" s="13" t="s">
        <v>105</v>
      </c>
      <c r="D8" s="13" t="s">
        <v>90</v>
      </c>
      <c r="E8" s="14" t="s">
        <v>106</v>
      </c>
      <c r="F8" s="14" t="s">
        <v>107</v>
      </c>
    </row>
    <row r="9" customFormat="false" ht="15" hidden="false" customHeight="false" outlineLevel="0" collapsed="false">
      <c r="A9" s="8" t="s">
        <v>108</v>
      </c>
      <c r="B9" s="11" t="s">
        <v>109</v>
      </c>
      <c r="C9" s="11" t="s">
        <v>110</v>
      </c>
      <c r="D9" s="11" t="s">
        <v>90</v>
      </c>
      <c r="E9" s="10" t="s">
        <v>111</v>
      </c>
      <c r="F9" s="10" t="s">
        <v>112</v>
      </c>
    </row>
    <row r="10" customFormat="false" ht="15" hidden="false" customHeight="false" outlineLevel="0" collapsed="false">
      <c r="A10" s="12" t="s">
        <v>113</v>
      </c>
      <c r="B10" s="13" t="s">
        <v>114</v>
      </c>
      <c r="C10" s="13" t="s">
        <v>115</v>
      </c>
      <c r="D10" s="13" t="s">
        <v>90</v>
      </c>
      <c r="E10" s="14" t="s">
        <v>116</v>
      </c>
      <c r="F10" s="14" t="s">
        <v>112</v>
      </c>
    </row>
    <row r="11" customFormat="false" ht="15" hidden="false" customHeight="false" outlineLevel="0" collapsed="false">
      <c r="A11" s="8" t="s">
        <v>117</v>
      </c>
      <c r="B11" s="11" t="s">
        <v>118</v>
      </c>
      <c r="C11" s="11" t="s">
        <v>89</v>
      </c>
      <c r="D11" s="11" t="s">
        <v>90</v>
      </c>
      <c r="E11" s="10" t="s">
        <v>119</v>
      </c>
      <c r="F11" s="10" t="s">
        <v>120</v>
      </c>
    </row>
    <row r="12" customFormat="false" ht="15" hidden="false" customHeight="false" outlineLevel="0" collapsed="false">
      <c r="A12" s="12" t="s">
        <v>121</v>
      </c>
      <c r="B12" s="13" t="s">
        <v>122</v>
      </c>
      <c r="C12" s="13" t="s">
        <v>95</v>
      </c>
      <c r="D12" s="13" t="s">
        <v>90</v>
      </c>
      <c r="E12" s="14" t="s">
        <v>123</v>
      </c>
      <c r="F12" s="14" t="s">
        <v>124</v>
      </c>
    </row>
    <row r="13" customFormat="false" ht="15" hidden="false" customHeight="false" outlineLevel="0" collapsed="false">
      <c r="A13" s="8" t="s">
        <v>125</v>
      </c>
      <c r="B13" s="11" t="s">
        <v>126</v>
      </c>
      <c r="C13" s="11" t="s">
        <v>100</v>
      </c>
      <c r="D13" s="11" t="s">
        <v>90</v>
      </c>
      <c r="E13" s="10" t="s">
        <v>127</v>
      </c>
      <c r="F13" s="10" t="s">
        <v>65</v>
      </c>
    </row>
    <row r="14" customFormat="false" ht="15" hidden="false" customHeight="false" outlineLevel="0" collapsed="false">
      <c r="A14" s="12" t="s">
        <v>128</v>
      </c>
      <c r="B14" s="13" t="s">
        <v>129</v>
      </c>
      <c r="C14" s="13" t="s">
        <v>105</v>
      </c>
      <c r="D14" s="13" t="s">
        <v>90</v>
      </c>
      <c r="E14" s="14" t="s">
        <v>130</v>
      </c>
      <c r="F14" s="14" t="s">
        <v>131</v>
      </c>
    </row>
    <row r="15" customFormat="false" ht="15" hidden="false" customHeight="false" outlineLevel="0" collapsed="false">
      <c r="A15" s="8" t="s">
        <v>132</v>
      </c>
      <c r="B15" s="11" t="s">
        <v>133</v>
      </c>
      <c r="C15" s="11" t="s">
        <v>110</v>
      </c>
      <c r="D15" s="11" t="s">
        <v>90</v>
      </c>
      <c r="E15" s="10" t="s">
        <v>134</v>
      </c>
      <c r="F15" s="10" t="s">
        <v>135</v>
      </c>
    </row>
    <row r="16" customFormat="false" ht="15" hidden="false" customHeight="false" outlineLevel="0" collapsed="false">
      <c r="A16" s="12" t="s">
        <v>136</v>
      </c>
      <c r="B16" s="13" t="s">
        <v>137</v>
      </c>
      <c r="C16" s="13" t="s">
        <v>115</v>
      </c>
      <c r="D16" s="13" t="s">
        <v>138</v>
      </c>
      <c r="E16" s="14" t="s">
        <v>139</v>
      </c>
      <c r="F16" s="14" t="s">
        <v>140</v>
      </c>
    </row>
    <row r="17" customFormat="false" ht="15" hidden="false" customHeight="false" outlineLevel="0" collapsed="false">
      <c r="A17" s="8" t="s">
        <v>141</v>
      </c>
      <c r="B17" s="11" t="s">
        <v>142</v>
      </c>
      <c r="C17" s="11" t="s">
        <v>89</v>
      </c>
      <c r="D17" s="11" t="s">
        <v>138</v>
      </c>
      <c r="E17" s="10" t="s">
        <v>143</v>
      </c>
      <c r="F17" s="10" t="s">
        <v>144</v>
      </c>
    </row>
    <row r="18" customFormat="false" ht="15" hidden="false" customHeight="false" outlineLevel="0" collapsed="false">
      <c r="A18" s="12" t="s">
        <v>145</v>
      </c>
      <c r="B18" s="13" t="s">
        <v>146</v>
      </c>
      <c r="C18" s="13" t="s">
        <v>95</v>
      </c>
      <c r="D18" s="13" t="s">
        <v>138</v>
      </c>
      <c r="E18" s="14" t="s">
        <v>143</v>
      </c>
      <c r="F18" s="14" t="s">
        <v>144</v>
      </c>
    </row>
    <row r="19" customFormat="false" ht="15" hidden="false" customHeight="false" outlineLevel="0" collapsed="false">
      <c r="A19" s="8" t="s">
        <v>147</v>
      </c>
      <c r="B19" s="11" t="s">
        <v>148</v>
      </c>
      <c r="C19" s="11" t="s">
        <v>100</v>
      </c>
      <c r="D19" s="11" t="s">
        <v>138</v>
      </c>
      <c r="E19" s="10" t="s">
        <v>143</v>
      </c>
      <c r="F19" s="10" t="s">
        <v>144</v>
      </c>
    </row>
    <row r="20" customFormat="false" ht="15" hidden="false" customHeight="false" outlineLevel="0" collapsed="false">
      <c r="A20" s="12" t="s">
        <v>149</v>
      </c>
      <c r="B20" s="13" t="s">
        <v>150</v>
      </c>
      <c r="C20" s="13" t="s">
        <v>105</v>
      </c>
      <c r="D20" s="13" t="s">
        <v>138</v>
      </c>
      <c r="E20" s="14" t="s">
        <v>143</v>
      </c>
      <c r="F20" s="14" t="s">
        <v>144</v>
      </c>
    </row>
    <row r="21" customFormat="false" ht="15" hidden="false" customHeight="false" outlineLevel="0" collapsed="false">
      <c r="A21" s="8" t="s">
        <v>151</v>
      </c>
      <c r="B21" s="11" t="s">
        <v>152</v>
      </c>
      <c r="C21" s="11" t="s">
        <v>110</v>
      </c>
      <c r="D21" s="11" t="s">
        <v>138</v>
      </c>
      <c r="E21" s="10" t="s">
        <v>153</v>
      </c>
      <c r="F21" s="10" t="s">
        <v>154</v>
      </c>
    </row>
    <row r="22" customFormat="false" ht="15" hidden="false" customHeight="false" outlineLevel="0" collapsed="false">
      <c r="A22" s="12" t="s">
        <v>155</v>
      </c>
      <c r="B22" s="13" t="s">
        <v>156</v>
      </c>
      <c r="C22" s="13" t="s">
        <v>115</v>
      </c>
      <c r="D22" s="13" t="s">
        <v>138</v>
      </c>
      <c r="E22" s="14" t="s">
        <v>157</v>
      </c>
      <c r="F22" s="14" t="s">
        <v>140</v>
      </c>
    </row>
    <row r="23" customFormat="false" ht="15" hidden="false" customHeight="false" outlineLevel="0" collapsed="false">
      <c r="A23" s="8" t="s">
        <v>158</v>
      </c>
      <c r="B23" s="11" t="s">
        <v>159</v>
      </c>
      <c r="C23" s="11" t="s">
        <v>89</v>
      </c>
      <c r="D23" s="11" t="s">
        <v>138</v>
      </c>
      <c r="E23" s="10" t="s">
        <v>143</v>
      </c>
      <c r="F23" s="10" t="s">
        <v>144</v>
      </c>
    </row>
    <row r="24" customFormat="false" ht="15" hidden="false" customHeight="false" outlineLevel="0" collapsed="false">
      <c r="A24" s="12" t="s">
        <v>160</v>
      </c>
      <c r="B24" s="13" t="s">
        <v>161</v>
      </c>
      <c r="C24" s="13" t="s">
        <v>95</v>
      </c>
      <c r="D24" s="13" t="s">
        <v>138</v>
      </c>
      <c r="E24" s="14" t="s">
        <v>143</v>
      </c>
      <c r="F24" s="14" t="s">
        <v>144</v>
      </c>
    </row>
    <row r="25" customFormat="false" ht="15" hidden="false" customHeight="false" outlineLevel="0" collapsed="false">
      <c r="A25" s="8" t="s">
        <v>162</v>
      </c>
      <c r="B25" s="11" t="s">
        <v>163</v>
      </c>
      <c r="C25" s="11" t="s">
        <v>100</v>
      </c>
      <c r="D25" s="11" t="s">
        <v>138</v>
      </c>
      <c r="E25" s="10" t="s">
        <v>143</v>
      </c>
      <c r="F25" s="10" t="s">
        <v>144</v>
      </c>
    </row>
    <row r="26" customFormat="false" ht="15" hidden="false" customHeight="false" outlineLevel="0" collapsed="false">
      <c r="A26" s="12" t="s">
        <v>164</v>
      </c>
      <c r="B26" s="13" t="s">
        <v>165</v>
      </c>
      <c r="C26" s="13" t="s">
        <v>105</v>
      </c>
      <c r="D26" s="13" t="s">
        <v>138</v>
      </c>
      <c r="E26" s="14" t="s">
        <v>166</v>
      </c>
      <c r="F26" s="14" t="s">
        <v>154</v>
      </c>
    </row>
    <row r="27" customFormat="false" ht="15" hidden="false" customHeight="false" outlineLevel="0" collapsed="false">
      <c r="A27" s="8" t="s">
        <v>167</v>
      </c>
      <c r="B27" s="11" t="s">
        <v>168</v>
      </c>
      <c r="C27" s="11" t="s">
        <v>110</v>
      </c>
      <c r="D27" s="11" t="s">
        <v>138</v>
      </c>
      <c r="E27" s="10" t="s">
        <v>169</v>
      </c>
      <c r="F27" s="10" t="s">
        <v>140</v>
      </c>
    </row>
    <row r="28" customFormat="false" ht="15" hidden="false" customHeight="false" outlineLevel="0" collapsed="false">
      <c r="A28" s="12" t="s">
        <v>170</v>
      </c>
      <c r="B28" s="13" t="s">
        <v>171</v>
      </c>
      <c r="C28" s="13" t="s">
        <v>115</v>
      </c>
      <c r="D28" s="13" t="s">
        <v>138</v>
      </c>
      <c r="E28" s="14" t="s">
        <v>143</v>
      </c>
      <c r="F28" s="14" t="s">
        <v>144</v>
      </c>
    </row>
    <row r="29" customFormat="false" ht="15" hidden="false" customHeight="false" outlineLevel="0" collapsed="false">
      <c r="A29" s="8" t="s">
        <v>172</v>
      </c>
      <c r="B29" s="11" t="s">
        <v>173</v>
      </c>
      <c r="C29" s="11" t="s">
        <v>89</v>
      </c>
      <c r="D29" s="11" t="s">
        <v>138</v>
      </c>
      <c r="E29" s="10" t="s">
        <v>143</v>
      </c>
      <c r="F29" s="10" t="s">
        <v>144</v>
      </c>
    </row>
    <row r="30" customFormat="false" ht="15" hidden="false" customHeight="false" outlineLevel="0" collapsed="false">
      <c r="A30" s="12" t="s">
        <v>174</v>
      </c>
      <c r="B30" s="13" t="s">
        <v>175</v>
      </c>
      <c r="C30" s="13" t="s">
        <v>95</v>
      </c>
      <c r="D30" s="13" t="s">
        <v>138</v>
      </c>
      <c r="E30" s="14" t="s">
        <v>176</v>
      </c>
      <c r="F30" s="14" t="s">
        <v>177</v>
      </c>
    </row>
    <row r="33" customFormat="false" ht="15" hidden="false" customHeight="false" outlineLevel="0" collapsed="false">
      <c r="A33" s="15" t="s">
        <v>178</v>
      </c>
    </row>
    <row r="34" customFormat="false" ht="30" hidden="false" customHeight="true" outlineLevel="0" collapsed="false">
      <c r="A34" s="7" t="s">
        <v>81</v>
      </c>
      <c r="B34" s="7" t="s">
        <v>82</v>
      </c>
      <c r="C34" s="7" t="s">
        <v>83</v>
      </c>
      <c r="D34" s="7" t="s">
        <v>84</v>
      </c>
      <c r="E34" s="7" t="s">
        <v>179</v>
      </c>
      <c r="F34" s="7" t="s">
        <v>86</v>
      </c>
    </row>
    <row r="35" customFormat="false" ht="15" hidden="false" customHeight="false" outlineLevel="0" collapsed="false">
      <c r="A35" s="8" t="s">
        <v>180</v>
      </c>
      <c r="B35" s="11" t="s">
        <v>181</v>
      </c>
      <c r="C35" s="11" t="s">
        <v>100</v>
      </c>
      <c r="D35" s="11" t="s">
        <v>182</v>
      </c>
      <c r="E35" s="10" t="s">
        <v>183</v>
      </c>
      <c r="F35" s="10" t="s">
        <v>184</v>
      </c>
    </row>
    <row r="36" customFormat="false" ht="15" hidden="false" customHeight="false" outlineLevel="0" collapsed="false">
      <c r="A36" s="12" t="s">
        <v>185</v>
      </c>
      <c r="B36" s="13" t="s">
        <v>186</v>
      </c>
      <c r="C36" s="13" t="s">
        <v>110</v>
      </c>
      <c r="D36" s="13" t="s">
        <v>182</v>
      </c>
      <c r="E36" s="14" t="s">
        <v>187</v>
      </c>
      <c r="F36" s="14" t="s">
        <v>188</v>
      </c>
    </row>
    <row r="37" customFormat="false" ht="15" hidden="false" customHeight="false" outlineLevel="0" collapsed="false">
      <c r="A37" s="8" t="s">
        <v>185</v>
      </c>
      <c r="B37" s="11" t="s">
        <v>189</v>
      </c>
      <c r="C37" s="11" t="s">
        <v>110</v>
      </c>
      <c r="D37" s="11" t="s">
        <v>182</v>
      </c>
      <c r="E37" s="10" t="s">
        <v>190</v>
      </c>
      <c r="F37" s="10" t="s">
        <v>188</v>
      </c>
    </row>
    <row r="38" customFormat="false" ht="15" hidden="false" customHeight="false" outlineLevel="0" collapsed="false">
      <c r="A38" s="12" t="s">
        <v>185</v>
      </c>
      <c r="B38" s="13" t="s">
        <v>191</v>
      </c>
      <c r="C38" s="13" t="s">
        <v>110</v>
      </c>
      <c r="D38" s="13" t="s">
        <v>182</v>
      </c>
      <c r="E38" s="14" t="s">
        <v>192</v>
      </c>
      <c r="F38" s="14" t="s">
        <v>188</v>
      </c>
    </row>
    <row r="39" customFormat="false" ht="15" hidden="false" customHeight="false" outlineLevel="0" collapsed="false">
      <c r="A39" s="8" t="s">
        <v>193</v>
      </c>
      <c r="B39" s="11" t="s">
        <v>194</v>
      </c>
      <c r="C39" s="11" t="s">
        <v>100</v>
      </c>
      <c r="D39" s="11" t="s">
        <v>182</v>
      </c>
      <c r="E39" s="10" t="s">
        <v>195</v>
      </c>
      <c r="F39" s="10" t="s">
        <v>196</v>
      </c>
    </row>
    <row r="40" customFormat="false" ht="15" hidden="false" customHeight="false" outlineLevel="0" collapsed="false">
      <c r="A40" s="12" t="s">
        <v>185</v>
      </c>
      <c r="B40" s="13" t="s">
        <v>197</v>
      </c>
      <c r="C40" s="13" t="s">
        <v>110</v>
      </c>
      <c r="D40" s="13" t="s">
        <v>182</v>
      </c>
      <c r="E40" s="14" t="s">
        <v>198</v>
      </c>
      <c r="F40" s="14" t="s">
        <v>188</v>
      </c>
    </row>
    <row r="41" customFormat="false" ht="15" hidden="false" customHeight="false" outlineLevel="0" collapsed="false">
      <c r="A41" s="8" t="s">
        <v>199</v>
      </c>
      <c r="B41" s="11" t="s">
        <v>200</v>
      </c>
      <c r="C41" s="11" t="s">
        <v>110</v>
      </c>
      <c r="D41" s="11" t="s">
        <v>182</v>
      </c>
      <c r="E41" s="10" t="s">
        <v>201</v>
      </c>
      <c r="F41" s="10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"/>
    <col collapsed="false" customWidth="true" hidden="false" outlineLevel="0" max="6" min="3" style="0" width="19"/>
  </cols>
  <sheetData>
    <row r="1" customFormat="false" ht="17.35" hidden="false" customHeight="false" outlineLevel="0" collapsed="false">
      <c r="A1" s="6" t="s">
        <v>203</v>
      </c>
    </row>
    <row r="2" customFormat="false" ht="15" hidden="false" customHeight="false" outlineLevel="0" collapsed="false">
      <c r="A2" s="2" t="s">
        <v>204</v>
      </c>
    </row>
    <row r="4" customFormat="false" ht="30" hidden="false" customHeight="true" outlineLevel="0" collapsed="false">
      <c r="A4" s="7" t="s">
        <v>205</v>
      </c>
      <c r="B4" s="7" t="s">
        <v>206</v>
      </c>
      <c r="C4" s="7" t="s">
        <v>207</v>
      </c>
      <c r="D4" s="7" t="s">
        <v>208</v>
      </c>
      <c r="E4" s="7" t="s">
        <v>209</v>
      </c>
      <c r="F4" s="7" t="s">
        <v>210</v>
      </c>
    </row>
    <row r="5" customFormat="false" ht="15" hidden="false" customHeight="false" outlineLevel="0" collapsed="false">
      <c r="A5" s="8" t="s">
        <v>211</v>
      </c>
      <c r="B5" s="16" t="s">
        <v>212</v>
      </c>
      <c r="C5" s="11" t="s">
        <v>213</v>
      </c>
      <c r="D5" s="11" t="s">
        <v>214</v>
      </c>
      <c r="E5" s="11" t="s">
        <v>215</v>
      </c>
      <c r="F5" s="11" t="s">
        <v>216</v>
      </c>
    </row>
    <row r="6" customFormat="false" ht="15" hidden="false" customHeight="false" outlineLevel="0" collapsed="false">
      <c r="A6" s="12" t="s">
        <v>217</v>
      </c>
      <c r="B6" s="17" t="s">
        <v>218</v>
      </c>
      <c r="C6" s="13" t="s">
        <v>214</v>
      </c>
      <c r="D6" s="13" t="s">
        <v>215</v>
      </c>
      <c r="E6" s="13" t="s">
        <v>216</v>
      </c>
      <c r="F6" s="13" t="s">
        <v>213</v>
      </c>
    </row>
    <row r="7" customFormat="false" ht="15" hidden="false" customHeight="false" outlineLevel="0" collapsed="false">
      <c r="A7" s="8" t="s">
        <v>219</v>
      </c>
      <c r="B7" s="16" t="s">
        <v>220</v>
      </c>
      <c r="C7" s="11" t="s">
        <v>215</v>
      </c>
      <c r="D7" s="11" t="s">
        <v>216</v>
      </c>
      <c r="E7" s="11" t="s">
        <v>213</v>
      </c>
      <c r="F7" s="11" t="s">
        <v>214</v>
      </c>
    </row>
    <row r="8" customFormat="false" ht="15" hidden="false" customHeight="false" outlineLevel="0" collapsed="false">
      <c r="A8" s="12" t="s">
        <v>221</v>
      </c>
      <c r="B8" s="17" t="s">
        <v>222</v>
      </c>
      <c r="C8" s="13" t="s">
        <v>216</v>
      </c>
      <c r="D8" s="13" t="s">
        <v>213</v>
      </c>
      <c r="E8" s="13" t="s">
        <v>214</v>
      </c>
      <c r="F8" s="13" t="s">
        <v>215</v>
      </c>
    </row>
    <row r="9" customFormat="false" ht="15" hidden="false" customHeight="false" outlineLevel="0" collapsed="false">
      <c r="A9" s="8" t="s">
        <v>174</v>
      </c>
      <c r="B9" s="16" t="s">
        <v>223</v>
      </c>
      <c r="C9" s="11" t="s">
        <v>224</v>
      </c>
      <c r="D9" s="11" t="s">
        <v>225</v>
      </c>
      <c r="E9" s="11" t="s">
        <v>226</v>
      </c>
      <c r="F9" s="11" t="s">
        <v>227</v>
      </c>
    </row>
    <row r="11" customFormat="false" ht="15" hidden="false" customHeight="false" outlineLevel="0" collapsed="false">
      <c r="A11" s="15" t="s">
        <v>228</v>
      </c>
    </row>
    <row r="12" customFormat="false" ht="30" hidden="false" customHeight="true" outlineLevel="0" collapsed="false">
      <c r="A12" s="7" t="s">
        <v>229</v>
      </c>
      <c r="B12" s="7" t="s">
        <v>230</v>
      </c>
      <c r="C12" s="7" t="s">
        <v>207</v>
      </c>
      <c r="D12" s="7" t="s">
        <v>208</v>
      </c>
      <c r="E12" s="7" t="s">
        <v>209</v>
      </c>
      <c r="F12" s="7" t="s">
        <v>210</v>
      </c>
    </row>
    <row r="13" customFormat="false" ht="15" hidden="false" customHeight="false" outlineLevel="0" collapsed="false">
      <c r="A13" s="8" t="s">
        <v>182</v>
      </c>
      <c r="B13" s="16" t="s">
        <v>231</v>
      </c>
      <c r="C13" s="11" t="s">
        <v>213</v>
      </c>
      <c r="D13" s="11" t="s">
        <v>214</v>
      </c>
      <c r="E13" s="11" t="s">
        <v>215</v>
      </c>
      <c r="F13" s="11" t="s">
        <v>216</v>
      </c>
    </row>
    <row r="14" customFormat="false" ht="15" hidden="false" customHeight="false" outlineLevel="0" collapsed="false">
      <c r="A14" s="12" t="s">
        <v>232</v>
      </c>
      <c r="B14" s="17" t="s">
        <v>233</v>
      </c>
      <c r="C14" s="13" t="s">
        <v>214</v>
      </c>
      <c r="D14" s="13" t="s">
        <v>215</v>
      </c>
      <c r="E14" s="13" t="s">
        <v>216</v>
      </c>
      <c r="F14" s="13" t="s">
        <v>213</v>
      </c>
    </row>
    <row r="15" customFormat="false" ht="15" hidden="false" customHeight="false" outlineLevel="0" collapsed="false">
      <c r="A15" s="8" t="s">
        <v>234</v>
      </c>
      <c r="B15" s="16" t="s">
        <v>235</v>
      </c>
      <c r="C15" s="11" t="s">
        <v>215</v>
      </c>
      <c r="D15" s="11" t="s">
        <v>216</v>
      </c>
      <c r="E15" s="11" t="s">
        <v>213</v>
      </c>
      <c r="F15" s="11" t="s">
        <v>214</v>
      </c>
    </row>
    <row r="16" customFormat="false" ht="15" hidden="false" customHeight="false" outlineLevel="0" collapsed="false">
      <c r="A16" s="12" t="s">
        <v>236</v>
      </c>
      <c r="B16" s="17" t="s">
        <v>235</v>
      </c>
      <c r="C16" s="13" t="s">
        <v>216</v>
      </c>
      <c r="D16" s="13" t="s">
        <v>213</v>
      </c>
      <c r="E16" s="13" t="s">
        <v>214</v>
      </c>
      <c r="F16" s="13" t="s">
        <v>215</v>
      </c>
    </row>
    <row r="17" customFormat="false" ht="15" hidden="false" customHeight="false" outlineLevel="0" collapsed="false">
      <c r="A17" s="2" t="s">
        <v>237</v>
      </c>
    </row>
    <row r="19" customFormat="false" ht="15" hidden="false" customHeight="false" outlineLevel="0" collapsed="false">
      <c r="A19" s="15" t="s">
        <v>238</v>
      </c>
    </row>
    <row r="20" customFormat="false" ht="30" hidden="false" customHeight="true" outlineLevel="0" collapsed="false">
      <c r="A20" s="7" t="s">
        <v>239</v>
      </c>
      <c r="B20" s="7" t="s">
        <v>240</v>
      </c>
      <c r="C20" s="7" t="s">
        <v>241</v>
      </c>
      <c r="D20" s="7" t="s">
        <v>242</v>
      </c>
      <c r="E20" s="7"/>
      <c r="F20" s="7"/>
    </row>
    <row r="21" customFormat="false" ht="27.75" hidden="false" customHeight="true" outlineLevel="0" collapsed="false">
      <c r="A21" s="16" t="s">
        <v>213</v>
      </c>
      <c r="B21" s="18" t="s">
        <v>243</v>
      </c>
      <c r="C21" s="10" t="s">
        <v>244</v>
      </c>
      <c r="D21" s="10" t="s">
        <v>245</v>
      </c>
    </row>
    <row r="22" customFormat="false" ht="27.75" hidden="false" customHeight="true" outlineLevel="0" collapsed="false">
      <c r="A22" s="17" t="s">
        <v>214</v>
      </c>
      <c r="B22" s="19" t="s">
        <v>246</v>
      </c>
      <c r="C22" s="14" t="s">
        <v>247</v>
      </c>
      <c r="D22" s="14" t="s">
        <v>120</v>
      </c>
    </row>
    <row r="23" customFormat="false" ht="27.75" hidden="false" customHeight="true" outlineLevel="0" collapsed="false">
      <c r="A23" s="16" t="s">
        <v>215</v>
      </c>
      <c r="B23" s="18" t="s">
        <v>248</v>
      </c>
      <c r="C23" s="10" t="s">
        <v>249</v>
      </c>
      <c r="D23" s="10" t="s">
        <v>250</v>
      </c>
    </row>
    <row r="24" customFormat="false" ht="27.75" hidden="false" customHeight="true" outlineLevel="0" collapsed="false">
      <c r="A24" s="17" t="s">
        <v>216</v>
      </c>
      <c r="B24" s="19" t="s">
        <v>251</v>
      </c>
      <c r="C24" s="14" t="s">
        <v>252</v>
      </c>
      <c r="D24" s="14" t="s">
        <v>253</v>
      </c>
    </row>
    <row r="26" customFormat="false" ht="15" hidden="false" customHeight="false" outlineLevel="0" collapsed="false">
      <c r="A26" s="15" t="s">
        <v>254</v>
      </c>
    </row>
    <row r="27" customFormat="false" ht="30" hidden="false" customHeight="true" outlineLevel="0" collapsed="false">
      <c r="A27" s="7" t="s">
        <v>57</v>
      </c>
      <c r="B27" s="7" t="s">
        <v>255</v>
      </c>
      <c r="C27" s="7" t="s">
        <v>256</v>
      </c>
      <c r="D27" s="7" t="s">
        <v>257</v>
      </c>
      <c r="E27" s="7" t="s">
        <v>58</v>
      </c>
      <c r="F27" s="7" t="s">
        <v>60</v>
      </c>
    </row>
    <row r="28" customFormat="false" ht="15" hidden="false" customHeight="false" outlineLevel="0" collapsed="false">
      <c r="A28" s="8" t="s">
        <v>207</v>
      </c>
      <c r="B28" s="9"/>
      <c r="C28" s="9"/>
      <c r="D28" s="9"/>
      <c r="E28" s="9"/>
      <c r="F28" s="9"/>
    </row>
    <row r="29" customFormat="false" ht="15" hidden="false" customHeight="false" outlineLevel="0" collapsed="false">
      <c r="A29" s="8" t="s">
        <v>208</v>
      </c>
      <c r="B29" s="9"/>
      <c r="C29" s="9"/>
      <c r="D29" s="9"/>
      <c r="E29" s="9"/>
      <c r="F29" s="9"/>
    </row>
    <row r="30" customFormat="false" ht="15" hidden="false" customHeight="false" outlineLevel="0" collapsed="false">
      <c r="A30" s="8" t="s">
        <v>209</v>
      </c>
      <c r="B30" s="9"/>
      <c r="C30" s="9"/>
      <c r="D30" s="9"/>
      <c r="E30" s="9"/>
      <c r="F30" s="9"/>
    </row>
    <row r="31" customFormat="false" ht="15" hidden="false" customHeight="false" outlineLevel="0" collapsed="false">
      <c r="A31" s="8" t="s">
        <v>210</v>
      </c>
      <c r="B31" s="9"/>
      <c r="C31" s="9"/>
      <c r="D31" s="9"/>
      <c r="E31" s="9"/>
      <c r="F31" s="9"/>
    </row>
    <row r="33" customFormat="false" ht="15" hidden="false" customHeight="false" outlineLevel="0" collapsed="false">
      <c r="A33" s="20" t="s">
        <v>258</v>
      </c>
    </row>
    <row r="34" customFormat="false" ht="15" hidden="false" customHeight="false" outlineLevel="0" collapsed="false">
      <c r="A34" s="21" t="s">
        <v>259</v>
      </c>
    </row>
    <row r="35" customFormat="false" ht="15" hidden="false" customHeight="false" outlineLevel="0" collapsed="false">
      <c r="A35" s="21" t="s">
        <v>260</v>
      </c>
    </row>
    <row r="36" customFormat="false" ht="15" hidden="false" customHeight="false" outlineLevel="0" collapsed="false">
      <c r="A36" s="21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6" t="s">
        <v>262</v>
      </c>
    </row>
    <row r="2" customFormat="false" ht="15" hidden="false" customHeight="false" outlineLevel="0" collapsed="false">
      <c r="A2" s="2" t="s">
        <v>263</v>
      </c>
    </row>
    <row r="4" customFormat="false" ht="30" hidden="false" customHeight="true" outlineLevel="0" collapsed="false">
      <c r="A4" s="7" t="s">
        <v>264</v>
      </c>
      <c r="B4" s="7" t="s">
        <v>265</v>
      </c>
      <c r="C4" s="7" t="s">
        <v>266</v>
      </c>
      <c r="D4" s="7" t="s">
        <v>267</v>
      </c>
      <c r="E4" s="7" t="s">
        <v>42</v>
      </c>
      <c r="F4" s="7" t="s">
        <v>268</v>
      </c>
    </row>
    <row r="5" customFormat="false" ht="23.85" hidden="false" customHeight="false" outlineLevel="0" collapsed="false">
      <c r="A5" s="8" t="s">
        <v>269</v>
      </c>
      <c r="B5" s="10" t="s">
        <v>270</v>
      </c>
      <c r="C5" s="10" t="s">
        <v>271</v>
      </c>
      <c r="D5" s="9"/>
      <c r="E5" s="11" t="n">
        <v>3</v>
      </c>
      <c r="F5" s="18" t="s">
        <v>272</v>
      </c>
    </row>
    <row r="6" customFormat="false" ht="35.05" hidden="false" customHeight="false" outlineLevel="0" collapsed="false">
      <c r="A6" s="12" t="s">
        <v>273</v>
      </c>
      <c r="B6" s="14" t="s">
        <v>274</v>
      </c>
      <c r="C6" s="14" t="s">
        <v>275</v>
      </c>
      <c r="D6" s="9"/>
      <c r="E6" s="13" t="n">
        <v>6</v>
      </c>
      <c r="F6" s="19" t="s">
        <v>276</v>
      </c>
    </row>
    <row r="7" customFormat="false" ht="23.85" hidden="false" customHeight="false" outlineLevel="0" collapsed="false">
      <c r="A7" s="8" t="s">
        <v>277</v>
      </c>
      <c r="B7" s="10" t="s">
        <v>278</v>
      </c>
      <c r="C7" s="10" t="s">
        <v>279</v>
      </c>
      <c r="D7" s="9"/>
      <c r="E7" s="11" t="n">
        <v>3</v>
      </c>
      <c r="F7" s="18" t="s">
        <v>280</v>
      </c>
    </row>
    <row r="8" customFormat="false" ht="23.85" hidden="false" customHeight="false" outlineLevel="0" collapsed="false">
      <c r="A8" s="12" t="s">
        <v>281</v>
      </c>
      <c r="B8" s="14" t="s">
        <v>282</v>
      </c>
      <c r="C8" s="14" t="s">
        <v>112</v>
      </c>
      <c r="D8" s="9"/>
      <c r="E8" s="13" t="n">
        <v>3</v>
      </c>
      <c r="F8" s="19" t="s">
        <v>283</v>
      </c>
    </row>
    <row r="9" customFormat="false" ht="23.85" hidden="false" customHeight="false" outlineLevel="0" collapsed="false">
      <c r="A9" s="8" t="s">
        <v>284</v>
      </c>
      <c r="B9" s="10" t="s">
        <v>285</v>
      </c>
      <c r="C9" s="10" t="s">
        <v>112</v>
      </c>
      <c r="D9" s="9"/>
      <c r="E9" s="11" t="n">
        <v>3</v>
      </c>
      <c r="F9" s="18" t="s">
        <v>286</v>
      </c>
    </row>
    <row r="10" customFormat="false" ht="23.85" hidden="false" customHeight="false" outlineLevel="0" collapsed="false">
      <c r="A10" s="12" t="s">
        <v>287</v>
      </c>
      <c r="B10" s="14" t="s">
        <v>288</v>
      </c>
      <c r="C10" s="14" t="s">
        <v>289</v>
      </c>
      <c r="D10" s="9"/>
      <c r="E10" s="13" t="n">
        <v>3</v>
      </c>
      <c r="F10" s="19" t="s">
        <v>290</v>
      </c>
    </row>
    <row r="11" customFormat="false" ht="23.85" hidden="false" customHeight="false" outlineLevel="0" collapsed="false">
      <c r="A11" s="8" t="s">
        <v>291</v>
      </c>
      <c r="B11" s="10" t="s">
        <v>292</v>
      </c>
      <c r="C11" s="10" t="s">
        <v>293</v>
      </c>
      <c r="D11" s="9"/>
      <c r="E11" s="11" t="n">
        <v>3</v>
      </c>
      <c r="F11" s="18" t="s">
        <v>294</v>
      </c>
    </row>
    <row r="12" customFormat="false" ht="15" hidden="false" customHeight="false" outlineLevel="0" collapsed="false">
      <c r="A12" s="12" t="s">
        <v>295</v>
      </c>
      <c r="B12" s="14" t="s">
        <v>296</v>
      </c>
      <c r="C12" s="14" t="s">
        <v>65</v>
      </c>
      <c r="D12" s="9"/>
      <c r="E12" s="13" t="n">
        <v>3</v>
      </c>
      <c r="F12" s="19" t="s">
        <v>297</v>
      </c>
    </row>
    <row r="13" customFormat="false" ht="23.85" hidden="false" customHeight="false" outlineLevel="0" collapsed="false">
      <c r="A13" s="8" t="s">
        <v>298</v>
      </c>
      <c r="B13" s="10" t="s">
        <v>299</v>
      </c>
      <c r="C13" s="10" t="s">
        <v>300</v>
      </c>
      <c r="D13" s="9"/>
      <c r="E13" s="11" t="n">
        <v>3</v>
      </c>
      <c r="F13" s="18" t="s">
        <v>301</v>
      </c>
    </row>
    <row r="14" customFormat="false" ht="15" hidden="false" customHeight="false" outlineLevel="0" collapsed="false">
      <c r="A14" s="12" t="s">
        <v>302</v>
      </c>
      <c r="B14" s="14" t="s">
        <v>303</v>
      </c>
      <c r="C14" s="14" t="s">
        <v>304</v>
      </c>
      <c r="D14" s="9"/>
      <c r="E14" s="13" t="n">
        <v>3</v>
      </c>
      <c r="F14" s="19" t="s">
        <v>305</v>
      </c>
    </row>
    <row r="15" customFormat="false" ht="23.85" hidden="false" customHeight="false" outlineLevel="0" collapsed="false">
      <c r="A15" s="8" t="s">
        <v>306</v>
      </c>
      <c r="B15" s="10" t="s">
        <v>307</v>
      </c>
      <c r="C15" s="10" t="s">
        <v>304</v>
      </c>
      <c r="D15" s="9"/>
      <c r="E15" s="11" t="n">
        <v>2</v>
      </c>
      <c r="F15" s="18" t="s">
        <v>308</v>
      </c>
    </row>
    <row r="16" customFormat="false" ht="23.85" hidden="false" customHeight="false" outlineLevel="0" collapsed="false">
      <c r="A16" s="12" t="s">
        <v>309</v>
      </c>
      <c r="B16" s="14" t="s">
        <v>310</v>
      </c>
      <c r="C16" s="14" t="s">
        <v>311</v>
      </c>
      <c r="D16" s="9"/>
      <c r="E16" s="13" t="n">
        <v>3</v>
      </c>
      <c r="F16" s="19" t="s">
        <v>312</v>
      </c>
    </row>
    <row r="17" customFormat="false" ht="15" hidden="false" customHeight="false" outlineLevel="0" collapsed="false">
      <c r="A17" s="8" t="s">
        <v>313</v>
      </c>
      <c r="B17" s="10" t="s">
        <v>314</v>
      </c>
      <c r="C17" s="10" t="s">
        <v>304</v>
      </c>
      <c r="D17" s="9"/>
      <c r="E17" s="11" t="n">
        <v>2</v>
      </c>
      <c r="F17" s="18" t="s">
        <v>315</v>
      </c>
    </row>
    <row r="18" customFormat="false" ht="23.85" hidden="false" customHeight="false" outlineLevel="0" collapsed="false">
      <c r="A18" s="12" t="s">
        <v>316</v>
      </c>
      <c r="B18" s="14" t="s">
        <v>317</v>
      </c>
      <c r="C18" s="14" t="s">
        <v>318</v>
      </c>
      <c r="D18" s="9"/>
      <c r="E18" s="13" t="n">
        <v>3</v>
      </c>
      <c r="F18" s="19" t="s">
        <v>319</v>
      </c>
    </row>
    <row r="19" customFormat="false" ht="23.85" hidden="false" customHeight="false" outlineLevel="0" collapsed="false">
      <c r="A19" s="8" t="s">
        <v>320</v>
      </c>
      <c r="B19" s="10" t="s">
        <v>321</v>
      </c>
      <c r="C19" s="10" t="s">
        <v>322</v>
      </c>
      <c r="D19" s="9"/>
      <c r="E19" s="11" t="n">
        <v>3</v>
      </c>
      <c r="F19" s="18" t="s">
        <v>323</v>
      </c>
    </row>
    <row r="20" customFormat="false" ht="23.85" hidden="false" customHeight="false" outlineLevel="0" collapsed="false">
      <c r="A20" s="12" t="s">
        <v>324</v>
      </c>
      <c r="B20" s="14" t="s">
        <v>325</v>
      </c>
      <c r="C20" s="14" t="s">
        <v>253</v>
      </c>
      <c r="D20" s="9"/>
      <c r="E20" s="13" t="n">
        <v>4</v>
      </c>
      <c r="F20" s="19" t="s">
        <v>326</v>
      </c>
    </row>
    <row r="21" customFormat="false" ht="23.85" hidden="false" customHeight="false" outlineLevel="0" collapsed="false">
      <c r="A21" s="8" t="s">
        <v>327</v>
      </c>
      <c r="B21" s="10" t="s">
        <v>328</v>
      </c>
      <c r="C21" s="10" t="s">
        <v>279</v>
      </c>
      <c r="D21" s="9"/>
      <c r="E21" s="11" t="n">
        <v>4</v>
      </c>
      <c r="F21" s="18" t="s">
        <v>329</v>
      </c>
    </row>
    <row r="22" customFormat="false" ht="23.85" hidden="false" customHeight="false" outlineLevel="0" collapsed="false">
      <c r="A22" s="12" t="s">
        <v>330</v>
      </c>
      <c r="B22" s="14" t="s">
        <v>331</v>
      </c>
      <c r="C22" s="14" t="s">
        <v>332</v>
      </c>
      <c r="D22" s="9"/>
      <c r="E22" s="13" t="n">
        <v>3</v>
      </c>
      <c r="F22" s="19" t="s">
        <v>333</v>
      </c>
    </row>
    <row r="23" customFormat="false" ht="23.85" hidden="false" customHeight="false" outlineLevel="0" collapsed="false">
      <c r="A23" s="8" t="s">
        <v>334</v>
      </c>
      <c r="B23" s="10" t="s">
        <v>335</v>
      </c>
      <c r="C23" s="10" t="s">
        <v>336</v>
      </c>
      <c r="D23" s="9"/>
      <c r="E23" s="11" t="n">
        <v>3</v>
      </c>
      <c r="F23" s="18" t="s">
        <v>337</v>
      </c>
    </row>
    <row r="24" customFormat="false" ht="23.85" hidden="false" customHeight="false" outlineLevel="0" collapsed="false">
      <c r="A24" s="12" t="s">
        <v>338</v>
      </c>
      <c r="B24" s="14" t="s">
        <v>339</v>
      </c>
      <c r="C24" s="14" t="s">
        <v>340</v>
      </c>
      <c r="D24" s="9"/>
      <c r="E24" s="13" t="n">
        <v>3</v>
      </c>
      <c r="F24" s="19" t="s">
        <v>341</v>
      </c>
    </row>
    <row r="25" customFormat="false" ht="23.85" hidden="false" customHeight="false" outlineLevel="0" collapsed="false">
      <c r="A25" s="8" t="s">
        <v>342</v>
      </c>
      <c r="B25" s="10" t="s">
        <v>343</v>
      </c>
      <c r="C25" s="10" t="s">
        <v>344</v>
      </c>
      <c r="D25" s="9"/>
      <c r="E25" s="11" t="n">
        <v>3</v>
      </c>
      <c r="F25" s="18" t="s">
        <v>345</v>
      </c>
    </row>
    <row r="26" customFormat="false" ht="15" hidden="false" customHeight="false" outlineLevel="0" collapsed="false">
      <c r="A26" s="12" t="s">
        <v>346</v>
      </c>
      <c r="B26" s="14" t="s">
        <v>347</v>
      </c>
      <c r="C26" s="14" t="s">
        <v>348</v>
      </c>
      <c r="D26" s="9"/>
      <c r="E26" s="13" t="n">
        <v>3</v>
      </c>
      <c r="F26" s="19" t="s">
        <v>349</v>
      </c>
    </row>
    <row r="27" customFormat="false" ht="32.8" hidden="false" customHeight="false" outlineLevel="0" collapsed="false">
      <c r="B27" s="22" t="s">
        <v>350</v>
      </c>
      <c r="E27" s="23" t="n">
        <f aca="false">SUM(E5:E26)</f>
        <v>69</v>
      </c>
      <c r="F27" s="24" t="s">
        <v>351</v>
      </c>
    </row>
    <row r="29" customFormat="false" ht="15" hidden="false" customHeight="false" outlineLevel="0" collapsed="false">
      <c r="A29" s="20" t="s">
        <v>352</v>
      </c>
    </row>
    <row r="30" customFormat="false" ht="15" hidden="false" customHeight="false" outlineLevel="0" collapsed="false">
      <c r="A30" s="21" t="s">
        <v>353</v>
      </c>
    </row>
    <row r="31" customFormat="false" ht="15" hidden="false" customHeight="false" outlineLevel="0" collapsed="false">
      <c r="A31" s="21" t="s">
        <v>354</v>
      </c>
    </row>
    <row r="32" customFormat="false" ht="15" hidden="false" customHeight="false" outlineLevel="0" collapsed="false">
      <c r="A32" s="21" t="s">
        <v>355</v>
      </c>
    </row>
    <row r="33" customFormat="false" ht="15" hidden="false" customHeight="false" outlineLevel="0" collapsed="false">
      <c r="A33" s="21" t="s">
        <v>356</v>
      </c>
    </row>
    <row r="34" customFormat="false" ht="15" hidden="false" customHeight="false" outlineLevel="0" collapsed="false">
      <c r="A34" s="21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15" min="4" style="0" width="6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6" t="s">
        <v>358</v>
      </c>
    </row>
    <row r="2" customFormat="false" ht="15" hidden="false" customHeight="false" outlineLevel="0" collapsed="false">
      <c r="A2" s="2" t="s">
        <v>359</v>
      </c>
    </row>
    <row r="4" customFormat="false" ht="30" hidden="false" customHeight="true" outlineLevel="0" collapsed="false">
      <c r="A4" s="7" t="s">
        <v>81</v>
      </c>
      <c r="B4" s="7" t="s">
        <v>82</v>
      </c>
      <c r="C4" s="7" t="s">
        <v>360</v>
      </c>
      <c r="D4" s="7" t="s">
        <v>61</v>
      </c>
      <c r="E4" s="7" t="s">
        <v>67</v>
      </c>
      <c r="F4" s="7" t="s">
        <v>68</v>
      </c>
      <c r="G4" s="7" t="s">
        <v>69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75</v>
      </c>
      <c r="N4" s="7" t="s">
        <v>76</v>
      </c>
      <c r="O4" s="7" t="s">
        <v>77</v>
      </c>
      <c r="P4" s="7" t="s">
        <v>361</v>
      </c>
    </row>
    <row r="5" customFormat="false" ht="15" hidden="false" customHeight="false" outlineLevel="0" collapsed="false">
      <c r="A5" s="8" t="s">
        <v>87</v>
      </c>
      <c r="B5" s="11" t="s">
        <v>88</v>
      </c>
      <c r="C5" s="11" t="s">
        <v>89</v>
      </c>
      <c r="D5" s="25" t="s">
        <v>362</v>
      </c>
      <c r="E5" s="25" t="s">
        <v>362</v>
      </c>
      <c r="F5" s="25" t="s">
        <v>362</v>
      </c>
      <c r="G5" s="25" t="s">
        <v>362</v>
      </c>
      <c r="H5" s="25" t="s">
        <v>362</v>
      </c>
      <c r="I5" s="25" t="s">
        <v>362</v>
      </c>
      <c r="J5" s="25" t="s">
        <v>362</v>
      </c>
      <c r="K5" s="25" t="s">
        <v>362</v>
      </c>
      <c r="L5" s="25" t="s">
        <v>362</v>
      </c>
      <c r="M5" s="25" t="s">
        <v>362</v>
      </c>
      <c r="N5" s="25" t="s">
        <v>362</v>
      </c>
      <c r="O5" s="25" t="s">
        <v>362</v>
      </c>
      <c r="P5" s="26" t="n">
        <f aca="false">IFERROR(COUNTIF(D5:O5,"P")/12,"")</f>
        <v>1</v>
      </c>
    </row>
    <row r="6" customFormat="false" ht="15" hidden="false" customHeight="false" outlineLevel="0" collapsed="false">
      <c r="A6" s="12" t="s">
        <v>93</v>
      </c>
      <c r="B6" s="13" t="s">
        <v>94</v>
      </c>
      <c r="C6" s="13" t="s">
        <v>95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7" t="n">
        <f aca="false">IFERROR(COUNTIF(D6:O6,"P")/12,"")</f>
        <v>0</v>
      </c>
    </row>
    <row r="7" customFormat="false" ht="15" hidden="false" customHeight="false" outlineLevel="0" collapsed="false">
      <c r="A7" s="8" t="s">
        <v>98</v>
      </c>
      <c r="B7" s="11" t="s">
        <v>99</v>
      </c>
      <c r="C7" s="11" t="s">
        <v>100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6" t="n">
        <f aca="false">IFERROR(COUNTIF(D7:O7,"P")/12,"")</f>
        <v>0</v>
      </c>
    </row>
    <row r="8" customFormat="false" ht="15" hidden="false" customHeight="false" outlineLevel="0" collapsed="false">
      <c r="A8" s="12" t="s">
        <v>103</v>
      </c>
      <c r="B8" s="13" t="s">
        <v>104</v>
      </c>
      <c r="C8" s="13" t="s">
        <v>105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7" t="n">
        <f aca="false">IFERROR(COUNTIF(D8:O8,"P")/12,"")</f>
        <v>0</v>
      </c>
    </row>
    <row r="9" customFormat="false" ht="15" hidden="false" customHeight="false" outlineLevel="0" collapsed="false">
      <c r="A9" s="8" t="s">
        <v>108</v>
      </c>
      <c r="B9" s="11" t="s">
        <v>109</v>
      </c>
      <c r="C9" s="11" t="s">
        <v>110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 t="n">
        <f aca="false">IFERROR(COUNTIF(D9:O9,"P")/12,"")</f>
        <v>0</v>
      </c>
    </row>
    <row r="10" customFormat="false" ht="15" hidden="false" customHeight="false" outlineLevel="0" collapsed="false">
      <c r="A10" s="12" t="s">
        <v>113</v>
      </c>
      <c r="B10" s="13" t="s">
        <v>114</v>
      </c>
      <c r="C10" s="13" t="s">
        <v>115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7" t="n">
        <f aca="false">IFERROR(COUNTIF(D10:O10,"P")/12,"")</f>
        <v>0</v>
      </c>
    </row>
    <row r="11" customFormat="false" ht="15" hidden="false" customHeight="false" outlineLevel="0" collapsed="false">
      <c r="A11" s="8" t="s">
        <v>117</v>
      </c>
      <c r="B11" s="11" t="s">
        <v>118</v>
      </c>
      <c r="C11" s="11" t="s">
        <v>89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 t="n">
        <f aca="false">IFERROR(COUNTIF(D11:O11,"P")/12,"")</f>
        <v>0</v>
      </c>
    </row>
    <row r="12" customFormat="false" ht="15" hidden="false" customHeight="false" outlineLevel="0" collapsed="false">
      <c r="A12" s="12" t="s">
        <v>121</v>
      </c>
      <c r="B12" s="13" t="s">
        <v>122</v>
      </c>
      <c r="C12" s="13" t="s">
        <v>95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7" t="n">
        <f aca="false">IFERROR(COUNTIF(D12:O12,"P")/12,"")</f>
        <v>0</v>
      </c>
    </row>
    <row r="13" customFormat="false" ht="15" hidden="false" customHeight="false" outlineLevel="0" collapsed="false">
      <c r="A13" s="8" t="s">
        <v>125</v>
      </c>
      <c r="B13" s="11" t="s">
        <v>126</v>
      </c>
      <c r="C13" s="11" t="s">
        <v>100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 t="n">
        <f aca="false">IFERROR(COUNTIF(D13:O13,"P")/12,"")</f>
        <v>0</v>
      </c>
    </row>
    <row r="14" customFormat="false" ht="15" hidden="false" customHeight="false" outlineLevel="0" collapsed="false">
      <c r="A14" s="12" t="s">
        <v>128</v>
      </c>
      <c r="B14" s="13" t="s">
        <v>129</v>
      </c>
      <c r="C14" s="13" t="s">
        <v>105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 t="n">
        <f aca="false">IFERROR(COUNTIF(D14:O14,"P")/12,"")</f>
        <v>0</v>
      </c>
    </row>
    <row r="15" customFormat="false" ht="15" hidden="false" customHeight="false" outlineLevel="0" collapsed="false">
      <c r="A15" s="8" t="s">
        <v>132</v>
      </c>
      <c r="B15" s="11" t="s">
        <v>133</v>
      </c>
      <c r="C15" s="11" t="s">
        <v>110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6" t="n">
        <f aca="false">IFERROR(COUNTIF(D15:O15,"P")/12,"")</f>
        <v>0</v>
      </c>
    </row>
    <row r="16" customFormat="false" ht="15" hidden="false" customHeight="false" outlineLevel="0" collapsed="false">
      <c r="A16" s="12" t="s">
        <v>136</v>
      </c>
      <c r="B16" s="13" t="s">
        <v>137</v>
      </c>
      <c r="C16" s="13" t="s">
        <v>115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7" t="n">
        <f aca="false">IFERROR(COUNTIF(D16:O16,"P")/12,"")</f>
        <v>0</v>
      </c>
    </row>
    <row r="17" customFormat="false" ht="15" hidden="false" customHeight="false" outlineLevel="0" collapsed="false">
      <c r="A17" s="8" t="s">
        <v>141</v>
      </c>
      <c r="B17" s="11" t="s">
        <v>142</v>
      </c>
      <c r="C17" s="11" t="s">
        <v>89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 t="n">
        <f aca="false">IFERROR(COUNTIF(D17:O17,"P")/12,"")</f>
        <v>0</v>
      </c>
    </row>
    <row r="18" customFormat="false" ht="15" hidden="false" customHeight="false" outlineLevel="0" collapsed="false">
      <c r="A18" s="12" t="s">
        <v>145</v>
      </c>
      <c r="B18" s="13" t="s">
        <v>146</v>
      </c>
      <c r="C18" s="13" t="s">
        <v>95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7" t="n">
        <f aca="false">IFERROR(COUNTIF(D18:O18,"P")/12,"")</f>
        <v>0</v>
      </c>
    </row>
    <row r="19" customFormat="false" ht="15" hidden="false" customHeight="false" outlineLevel="0" collapsed="false">
      <c r="A19" s="8" t="s">
        <v>147</v>
      </c>
      <c r="B19" s="11" t="s">
        <v>148</v>
      </c>
      <c r="C19" s="11" t="s">
        <v>100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 t="n">
        <f aca="false">IFERROR(COUNTIF(D19:O19,"P")/12,"")</f>
        <v>0</v>
      </c>
    </row>
    <row r="20" customFormat="false" ht="15" hidden="false" customHeight="false" outlineLevel="0" collapsed="false">
      <c r="A20" s="12" t="s">
        <v>149</v>
      </c>
      <c r="B20" s="13" t="s">
        <v>150</v>
      </c>
      <c r="C20" s="13" t="s">
        <v>105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7" t="n">
        <f aca="false">IFERROR(COUNTIF(D20:O20,"P")/12,"")</f>
        <v>0</v>
      </c>
    </row>
    <row r="21" customFormat="false" ht="15" hidden="false" customHeight="false" outlineLevel="0" collapsed="false">
      <c r="A21" s="8" t="s">
        <v>151</v>
      </c>
      <c r="B21" s="11" t="s">
        <v>152</v>
      </c>
      <c r="C21" s="11" t="s">
        <v>110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 t="n">
        <f aca="false">IFERROR(COUNTIF(D21:O21,"P")/12,"")</f>
        <v>0</v>
      </c>
    </row>
    <row r="22" customFormat="false" ht="15" hidden="false" customHeight="false" outlineLevel="0" collapsed="false">
      <c r="A22" s="12" t="s">
        <v>155</v>
      </c>
      <c r="B22" s="13" t="s">
        <v>156</v>
      </c>
      <c r="C22" s="13" t="s">
        <v>115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7" t="n">
        <f aca="false">IFERROR(COUNTIF(D22:O22,"P")/12,"")</f>
        <v>0</v>
      </c>
    </row>
    <row r="23" customFormat="false" ht="15" hidden="false" customHeight="false" outlineLevel="0" collapsed="false">
      <c r="A23" s="8" t="s">
        <v>158</v>
      </c>
      <c r="B23" s="11" t="s">
        <v>159</v>
      </c>
      <c r="C23" s="11" t="s">
        <v>89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 t="n">
        <f aca="false">IFERROR(COUNTIF(D23:O23,"P")/12,"")</f>
        <v>0</v>
      </c>
    </row>
    <row r="24" customFormat="false" ht="15" hidden="false" customHeight="false" outlineLevel="0" collapsed="false">
      <c r="A24" s="12" t="s">
        <v>160</v>
      </c>
      <c r="B24" s="13" t="s">
        <v>161</v>
      </c>
      <c r="C24" s="13" t="s">
        <v>95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7" t="n">
        <f aca="false">IFERROR(COUNTIF(D24:O24,"P")/12,"")</f>
        <v>0</v>
      </c>
    </row>
    <row r="25" customFormat="false" ht="15" hidden="false" customHeight="false" outlineLevel="0" collapsed="false">
      <c r="A25" s="8" t="s">
        <v>162</v>
      </c>
      <c r="B25" s="11" t="s">
        <v>163</v>
      </c>
      <c r="C25" s="11" t="s">
        <v>100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 t="n">
        <f aca="false">IFERROR(COUNTIF(D25:O25,"P")/12,"")</f>
        <v>0</v>
      </c>
    </row>
    <row r="26" customFormat="false" ht="15" hidden="false" customHeight="false" outlineLevel="0" collapsed="false">
      <c r="A26" s="12" t="s">
        <v>164</v>
      </c>
      <c r="B26" s="13" t="s">
        <v>165</v>
      </c>
      <c r="C26" s="13" t="s">
        <v>105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 t="n">
        <f aca="false">IFERROR(COUNTIF(D26:O26,"P")/12,"")</f>
        <v>0</v>
      </c>
    </row>
    <row r="27" customFormat="false" ht="15" hidden="false" customHeight="false" outlineLevel="0" collapsed="false">
      <c r="A27" s="8" t="s">
        <v>167</v>
      </c>
      <c r="B27" s="11" t="s">
        <v>168</v>
      </c>
      <c r="C27" s="11" t="s">
        <v>110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 t="n">
        <f aca="false">IFERROR(COUNTIF(D27:O27,"P")/12,"")</f>
        <v>0</v>
      </c>
    </row>
    <row r="28" customFormat="false" ht="15" hidden="false" customHeight="false" outlineLevel="0" collapsed="false">
      <c r="A28" s="12" t="s">
        <v>170</v>
      </c>
      <c r="B28" s="13" t="s">
        <v>171</v>
      </c>
      <c r="C28" s="13" t="s">
        <v>115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 t="n">
        <f aca="false">IFERROR(COUNTIF(D28:O28,"P")/12,"")</f>
        <v>0</v>
      </c>
    </row>
    <row r="29" customFormat="false" ht="15" hidden="false" customHeight="false" outlineLevel="0" collapsed="false">
      <c r="A29" s="8" t="s">
        <v>172</v>
      </c>
      <c r="B29" s="11" t="s">
        <v>173</v>
      </c>
      <c r="C29" s="11" t="s">
        <v>89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6" t="n">
        <f aca="false">IFERROR(COUNTIF(D29:O29,"P")/12,"")</f>
        <v>0</v>
      </c>
    </row>
    <row r="30" customFormat="false" ht="15" hidden="false" customHeight="false" outlineLevel="0" collapsed="false">
      <c r="A30" s="12" t="s">
        <v>174</v>
      </c>
      <c r="B30" s="13" t="s">
        <v>175</v>
      </c>
      <c r="C30" s="13" t="s">
        <v>95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7" t="n">
        <f aca="false">IFERROR(COUNTIF(D30:O30,"P")/12,"")</f>
        <v>0</v>
      </c>
    </row>
    <row r="31" customFormat="false" ht="15" hidden="false" customHeight="false" outlineLevel="0" collapsed="false">
      <c r="C31" s="23" t="s">
        <v>363</v>
      </c>
      <c r="D31" s="23" t="n">
        <f aca="false">COUNTIF(D5:D30,"P")+0.5*COUNTIF(D5:D30,"H")</f>
        <v>1</v>
      </c>
      <c r="E31" s="23" t="n">
        <f aca="false">COUNTIF(E5:E30,"P")+0.5*COUNTIF(E5:E30,"H")</f>
        <v>1</v>
      </c>
      <c r="F31" s="23" t="n">
        <f aca="false">COUNTIF(F5:F30,"P")+0.5*COUNTIF(F5:F30,"H")</f>
        <v>1</v>
      </c>
      <c r="G31" s="23" t="n">
        <f aca="false">COUNTIF(G5:G30,"P")+0.5*COUNTIF(G5:G30,"H")</f>
        <v>1</v>
      </c>
      <c r="H31" s="23" t="n">
        <f aca="false">COUNTIF(H5:H30,"P")+0.5*COUNTIF(H5:H30,"H")</f>
        <v>1</v>
      </c>
      <c r="I31" s="23" t="n">
        <f aca="false">COUNTIF(I5:I30,"P")+0.5*COUNTIF(I5:I30,"H")</f>
        <v>1</v>
      </c>
      <c r="J31" s="23" t="n">
        <f aca="false">COUNTIF(J5:J30,"P")+0.5*COUNTIF(J5:J30,"H")</f>
        <v>1</v>
      </c>
      <c r="K31" s="23" t="n">
        <f aca="false">COUNTIF(K5:K30,"P")+0.5*COUNTIF(K5:K30,"H")</f>
        <v>1</v>
      </c>
      <c r="L31" s="23" t="n">
        <f aca="false">COUNTIF(L5:L30,"P")+0.5*COUNTIF(L5:L30,"H")</f>
        <v>1</v>
      </c>
      <c r="M31" s="23" t="n">
        <f aca="false">COUNTIF(M5:M30,"P")+0.5*COUNTIF(M5:M30,"H")</f>
        <v>1</v>
      </c>
      <c r="N31" s="23" t="n">
        <f aca="false">COUNTIF(N5:N30,"P")+0.5*COUNTIF(N5:N30,"H")</f>
        <v>1</v>
      </c>
      <c r="O31" s="23" t="n">
        <f aca="false">COUNTIF(O5:O30,"P")+0.5*COUNTIF(O5:O30,"H")</f>
        <v>1</v>
      </c>
    </row>
    <row r="32" customFormat="false" ht="15" hidden="false" customHeight="false" outlineLevel="0" collapsed="false">
      <c r="C32" s="23" t="s">
        <v>364</v>
      </c>
      <c r="D32" s="28" t="n">
        <f aca="false">D31/26</f>
        <v>0.0384615384615385</v>
      </c>
      <c r="E32" s="28" t="n">
        <f aca="false">E31/26</f>
        <v>0.0384615384615385</v>
      </c>
      <c r="F32" s="28" t="n">
        <f aca="false">F31/26</f>
        <v>0.0384615384615385</v>
      </c>
      <c r="G32" s="28" t="n">
        <f aca="false">G31/26</f>
        <v>0.0384615384615385</v>
      </c>
      <c r="H32" s="28" t="n">
        <f aca="false">H31/26</f>
        <v>0.0384615384615385</v>
      </c>
      <c r="I32" s="28" t="n">
        <f aca="false">I31/26</f>
        <v>0.0384615384615385</v>
      </c>
      <c r="J32" s="28" t="n">
        <f aca="false">J31/26</f>
        <v>0.0384615384615385</v>
      </c>
      <c r="K32" s="28" t="n">
        <f aca="false">K31/26</f>
        <v>0.0384615384615385</v>
      </c>
      <c r="L32" s="28" t="n">
        <f aca="false">L31/26</f>
        <v>0.0384615384615385</v>
      </c>
      <c r="M32" s="28" t="n">
        <f aca="false">M31/26</f>
        <v>0.0384615384615385</v>
      </c>
      <c r="N32" s="28" t="n">
        <f aca="false">N31/26</f>
        <v>0.0384615384615385</v>
      </c>
      <c r="O32" s="28" t="n">
        <f aca="false">O31/26</f>
        <v>0.0384615384615385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15" min="4" style="0" width="6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6" t="s">
        <v>365</v>
      </c>
    </row>
    <row r="2" customFormat="false" ht="15" hidden="false" customHeight="false" outlineLevel="0" collapsed="false">
      <c r="A2" s="2" t="s">
        <v>366</v>
      </c>
    </row>
    <row r="4" customFormat="false" ht="30" hidden="false" customHeight="true" outlineLevel="0" collapsed="false">
      <c r="A4" s="7" t="s">
        <v>81</v>
      </c>
      <c r="B4" s="7" t="s">
        <v>82</v>
      </c>
      <c r="C4" s="7" t="s">
        <v>360</v>
      </c>
      <c r="D4" s="7" t="s">
        <v>61</v>
      </c>
      <c r="E4" s="7" t="s">
        <v>67</v>
      </c>
      <c r="F4" s="7" t="s">
        <v>68</v>
      </c>
      <c r="G4" s="7" t="s">
        <v>69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75</v>
      </c>
      <c r="N4" s="7" t="s">
        <v>76</v>
      </c>
      <c r="O4" s="7" t="s">
        <v>77</v>
      </c>
      <c r="P4" s="7" t="s">
        <v>367</v>
      </c>
    </row>
    <row r="5" customFormat="false" ht="15" hidden="false" customHeight="false" outlineLevel="0" collapsed="false">
      <c r="A5" s="8" t="s">
        <v>87</v>
      </c>
      <c r="B5" s="11" t="s">
        <v>88</v>
      </c>
      <c r="C5" s="11" t="s">
        <v>89</v>
      </c>
      <c r="D5" s="25" t="n">
        <v>3</v>
      </c>
      <c r="E5" s="25" t="n">
        <v>3</v>
      </c>
      <c r="F5" s="25" t="n">
        <v>3</v>
      </c>
      <c r="G5" s="25" t="n">
        <v>3</v>
      </c>
      <c r="H5" s="25" t="n">
        <v>3</v>
      </c>
      <c r="I5" s="25" t="n">
        <v>3</v>
      </c>
      <c r="J5" s="25" t="n">
        <v>3</v>
      </c>
      <c r="K5" s="25" t="n">
        <v>3</v>
      </c>
      <c r="L5" s="25" t="n">
        <v>3</v>
      </c>
      <c r="M5" s="25" t="n">
        <v>3</v>
      </c>
      <c r="N5" s="25" t="n">
        <v>3</v>
      </c>
      <c r="O5" s="25" t="n">
        <v>3</v>
      </c>
      <c r="P5" s="29" t="n">
        <f aca="false">IFERROR(AVERAGE(D5:O5),"")</f>
        <v>3</v>
      </c>
    </row>
    <row r="6" customFormat="false" ht="15" hidden="false" customHeight="false" outlineLevel="0" collapsed="false">
      <c r="A6" s="12" t="s">
        <v>93</v>
      </c>
      <c r="B6" s="13" t="s">
        <v>94</v>
      </c>
      <c r="C6" s="13" t="s">
        <v>95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30" t="str">
        <f aca="false">IFERROR(AVERAGE(D6:O6),"")</f>
        <v/>
      </c>
    </row>
    <row r="7" customFormat="false" ht="15" hidden="false" customHeight="false" outlineLevel="0" collapsed="false">
      <c r="A7" s="8" t="s">
        <v>98</v>
      </c>
      <c r="B7" s="11" t="s">
        <v>99</v>
      </c>
      <c r="C7" s="11" t="s">
        <v>100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9" t="str">
        <f aca="false">IFERROR(AVERAGE(D7:O7),"")</f>
        <v/>
      </c>
    </row>
    <row r="8" customFormat="false" ht="15" hidden="false" customHeight="false" outlineLevel="0" collapsed="false">
      <c r="A8" s="12" t="s">
        <v>103</v>
      </c>
      <c r="B8" s="13" t="s">
        <v>104</v>
      </c>
      <c r="C8" s="13" t="s">
        <v>105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30" t="str">
        <f aca="false">IFERROR(AVERAGE(D8:O8),"")</f>
        <v/>
      </c>
    </row>
    <row r="9" customFormat="false" ht="15" hidden="false" customHeight="false" outlineLevel="0" collapsed="false">
      <c r="A9" s="8" t="s">
        <v>108</v>
      </c>
      <c r="B9" s="11" t="s">
        <v>109</v>
      </c>
      <c r="C9" s="11" t="s">
        <v>110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9" t="str">
        <f aca="false">IFERROR(AVERAGE(D9:O9),"")</f>
        <v/>
      </c>
    </row>
    <row r="10" customFormat="false" ht="15" hidden="false" customHeight="false" outlineLevel="0" collapsed="false">
      <c r="A10" s="12" t="s">
        <v>113</v>
      </c>
      <c r="B10" s="13" t="s">
        <v>114</v>
      </c>
      <c r="C10" s="13" t="s">
        <v>115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30" t="str">
        <f aca="false">IFERROR(AVERAGE(D10:O10),"")</f>
        <v/>
      </c>
    </row>
    <row r="11" customFormat="false" ht="15" hidden="false" customHeight="false" outlineLevel="0" collapsed="false">
      <c r="A11" s="8" t="s">
        <v>117</v>
      </c>
      <c r="B11" s="11" t="s">
        <v>118</v>
      </c>
      <c r="C11" s="11" t="s">
        <v>89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9" t="str">
        <f aca="false">IFERROR(AVERAGE(D11:O11),"")</f>
        <v/>
      </c>
    </row>
    <row r="12" customFormat="false" ht="15" hidden="false" customHeight="false" outlineLevel="0" collapsed="false">
      <c r="A12" s="12" t="s">
        <v>121</v>
      </c>
      <c r="B12" s="13" t="s">
        <v>122</v>
      </c>
      <c r="C12" s="13" t="s">
        <v>95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30" t="str">
        <f aca="false">IFERROR(AVERAGE(D12:O12),"")</f>
        <v/>
      </c>
    </row>
    <row r="13" customFormat="false" ht="15" hidden="false" customHeight="false" outlineLevel="0" collapsed="false">
      <c r="A13" s="8" t="s">
        <v>125</v>
      </c>
      <c r="B13" s="11" t="s">
        <v>126</v>
      </c>
      <c r="C13" s="11" t="s">
        <v>100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9" t="str">
        <f aca="false">IFERROR(AVERAGE(D13:O13),"")</f>
        <v/>
      </c>
    </row>
    <row r="14" customFormat="false" ht="15" hidden="false" customHeight="false" outlineLevel="0" collapsed="false">
      <c r="A14" s="12" t="s">
        <v>128</v>
      </c>
      <c r="B14" s="13" t="s">
        <v>129</v>
      </c>
      <c r="C14" s="13" t="s">
        <v>105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30" t="str">
        <f aca="false">IFERROR(AVERAGE(D14:O14),"")</f>
        <v/>
      </c>
    </row>
    <row r="15" customFormat="false" ht="15" hidden="false" customHeight="false" outlineLevel="0" collapsed="false">
      <c r="A15" s="8" t="s">
        <v>132</v>
      </c>
      <c r="B15" s="11" t="s">
        <v>133</v>
      </c>
      <c r="C15" s="11" t="s">
        <v>110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9" t="str">
        <f aca="false">IFERROR(AVERAGE(D15:O15),"")</f>
        <v/>
      </c>
    </row>
    <row r="16" customFormat="false" ht="15" hidden="false" customHeight="false" outlineLevel="0" collapsed="false">
      <c r="A16" s="12" t="s">
        <v>136</v>
      </c>
      <c r="B16" s="13" t="s">
        <v>137</v>
      </c>
      <c r="C16" s="13" t="s">
        <v>115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30" t="str">
        <f aca="false">IFERROR(AVERAGE(D16:O16),"")</f>
        <v/>
      </c>
    </row>
    <row r="17" customFormat="false" ht="15" hidden="false" customHeight="false" outlineLevel="0" collapsed="false">
      <c r="A17" s="8" t="s">
        <v>141</v>
      </c>
      <c r="B17" s="11" t="s">
        <v>142</v>
      </c>
      <c r="C17" s="11" t="s">
        <v>89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9" t="str">
        <f aca="false">IFERROR(AVERAGE(D17:O17),"")</f>
        <v/>
      </c>
    </row>
    <row r="18" customFormat="false" ht="15" hidden="false" customHeight="false" outlineLevel="0" collapsed="false">
      <c r="A18" s="12" t="s">
        <v>145</v>
      </c>
      <c r="B18" s="13" t="s">
        <v>146</v>
      </c>
      <c r="C18" s="13" t="s">
        <v>95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30" t="str">
        <f aca="false">IFERROR(AVERAGE(D18:O18),"")</f>
        <v/>
      </c>
    </row>
    <row r="19" customFormat="false" ht="15" hidden="false" customHeight="false" outlineLevel="0" collapsed="false">
      <c r="A19" s="8" t="s">
        <v>147</v>
      </c>
      <c r="B19" s="11" t="s">
        <v>148</v>
      </c>
      <c r="C19" s="11" t="s">
        <v>100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9" t="str">
        <f aca="false">IFERROR(AVERAGE(D19:O19),"")</f>
        <v/>
      </c>
    </row>
    <row r="20" customFormat="false" ht="15" hidden="false" customHeight="false" outlineLevel="0" collapsed="false">
      <c r="A20" s="12" t="s">
        <v>149</v>
      </c>
      <c r="B20" s="13" t="s">
        <v>150</v>
      </c>
      <c r="C20" s="13" t="s">
        <v>105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30" t="str">
        <f aca="false">IFERROR(AVERAGE(D20:O20),"")</f>
        <v/>
      </c>
    </row>
    <row r="21" customFormat="false" ht="15" hidden="false" customHeight="false" outlineLevel="0" collapsed="false">
      <c r="A21" s="8" t="s">
        <v>151</v>
      </c>
      <c r="B21" s="11" t="s">
        <v>152</v>
      </c>
      <c r="C21" s="11" t="s">
        <v>110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9" t="str">
        <f aca="false">IFERROR(AVERAGE(D21:O21),"")</f>
        <v/>
      </c>
    </row>
    <row r="22" customFormat="false" ht="15" hidden="false" customHeight="false" outlineLevel="0" collapsed="false">
      <c r="A22" s="12" t="s">
        <v>155</v>
      </c>
      <c r="B22" s="13" t="s">
        <v>156</v>
      </c>
      <c r="C22" s="13" t="s">
        <v>115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30" t="str">
        <f aca="false">IFERROR(AVERAGE(D22:O22),"")</f>
        <v/>
      </c>
    </row>
    <row r="23" customFormat="false" ht="15" hidden="false" customHeight="false" outlineLevel="0" collapsed="false">
      <c r="A23" s="8" t="s">
        <v>158</v>
      </c>
      <c r="B23" s="11" t="s">
        <v>159</v>
      </c>
      <c r="C23" s="11" t="s">
        <v>89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9" t="str">
        <f aca="false">IFERROR(AVERAGE(D23:O23),"")</f>
        <v/>
      </c>
    </row>
    <row r="24" customFormat="false" ht="15" hidden="false" customHeight="false" outlineLevel="0" collapsed="false">
      <c r="A24" s="12" t="s">
        <v>160</v>
      </c>
      <c r="B24" s="13" t="s">
        <v>161</v>
      </c>
      <c r="C24" s="13" t="s">
        <v>95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30" t="str">
        <f aca="false">IFERROR(AVERAGE(D24:O24),"")</f>
        <v/>
      </c>
    </row>
    <row r="25" customFormat="false" ht="15" hidden="false" customHeight="false" outlineLevel="0" collapsed="false">
      <c r="A25" s="8" t="s">
        <v>162</v>
      </c>
      <c r="B25" s="11" t="s">
        <v>163</v>
      </c>
      <c r="C25" s="11" t="s">
        <v>100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9" t="str">
        <f aca="false">IFERROR(AVERAGE(D25:O25),"")</f>
        <v/>
      </c>
    </row>
    <row r="26" customFormat="false" ht="15" hidden="false" customHeight="false" outlineLevel="0" collapsed="false">
      <c r="A26" s="12" t="s">
        <v>164</v>
      </c>
      <c r="B26" s="13" t="s">
        <v>165</v>
      </c>
      <c r="C26" s="13" t="s">
        <v>105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30" t="str">
        <f aca="false">IFERROR(AVERAGE(D26:O26),"")</f>
        <v/>
      </c>
    </row>
    <row r="27" customFormat="false" ht="15" hidden="false" customHeight="false" outlineLevel="0" collapsed="false">
      <c r="A27" s="8" t="s">
        <v>167</v>
      </c>
      <c r="B27" s="11" t="s">
        <v>168</v>
      </c>
      <c r="C27" s="11" t="s">
        <v>110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9" t="str">
        <f aca="false">IFERROR(AVERAGE(D27:O27),"")</f>
        <v/>
      </c>
    </row>
    <row r="28" customFormat="false" ht="15" hidden="false" customHeight="false" outlineLevel="0" collapsed="false">
      <c r="A28" s="12" t="s">
        <v>170</v>
      </c>
      <c r="B28" s="13" t="s">
        <v>171</v>
      </c>
      <c r="C28" s="13" t="s">
        <v>115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30" t="str">
        <f aca="false">IFERROR(AVERAGE(D28:O28),"")</f>
        <v/>
      </c>
    </row>
    <row r="29" customFormat="false" ht="15" hidden="false" customHeight="false" outlineLevel="0" collapsed="false">
      <c r="A29" s="8" t="s">
        <v>172</v>
      </c>
      <c r="B29" s="11" t="s">
        <v>173</v>
      </c>
      <c r="C29" s="11" t="s">
        <v>89</v>
      </c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9" t="str">
        <f aca="false">IFERROR(AVERAGE(D29:O29),"")</f>
        <v/>
      </c>
    </row>
    <row r="30" customFormat="false" ht="15" hidden="false" customHeight="false" outlineLevel="0" collapsed="false">
      <c r="A30" s="12" t="s">
        <v>174</v>
      </c>
      <c r="B30" s="13" t="s">
        <v>175</v>
      </c>
      <c r="C30" s="13" t="s">
        <v>95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30" t="str">
        <f aca="false">IFERROR(AVERAGE(D30:O30),"")</f>
        <v/>
      </c>
    </row>
    <row r="31" customFormat="false" ht="15" hidden="false" customHeight="false" outlineLevel="0" collapsed="false">
      <c r="C31" s="23" t="s">
        <v>368</v>
      </c>
      <c r="D31" s="31" t="n">
        <f aca="false">IFERROR(AVERAGE(D5:D30),"")</f>
        <v>3</v>
      </c>
      <c r="E31" s="31" t="n">
        <f aca="false">IFERROR(AVERAGE(E5:E30),"")</f>
        <v>3</v>
      </c>
      <c r="F31" s="31" t="n">
        <f aca="false">IFERROR(AVERAGE(F5:F30),"")</f>
        <v>3</v>
      </c>
      <c r="G31" s="31" t="n">
        <f aca="false">IFERROR(AVERAGE(G5:G30),"")</f>
        <v>3</v>
      </c>
      <c r="H31" s="31" t="n">
        <f aca="false">IFERROR(AVERAGE(H5:H30),"")</f>
        <v>3</v>
      </c>
      <c r="I31" s="31" t="n">
        <f aca="false">IFERROR(AVERAGE(I5:I30),"")</f>
        <v>3</v>
      </c>
      <c r="J31" s="31" t="n">
        <f aca="false">IFERROR(AVERAGE(J5:J30),"")</f>
        <v>3</v>
      </c>
      <c r="K31" s="31" t="n">
        <f aca="false">IFERROR(AVERAGE(K5:K30),"")</f>
        <v>3</v>
      </c>
      <c r="L31" s="31" t="n">
        <f aca="false">IFERROR(AVERAGE(L5:L30),"")</f>
        <v>3</v>
      </c>
      <c r="M31" s="31" t="n">
        <f aca="false">IFERROR(AVERAGE(M5:M30),"")</f>
        <v>3</v>
      </c>
      <c r="N31" s="31" t="n">
        <f aca="false">IFERROR(AVERAGE(N5:N30),"")</f>
        <v>3</v>
      </c>
      <c r="O31" s="31" t="n">
        <f aca="false">IFERROR(AVERAGE(O5:O30),"")</f>
        <v>3</v>
      </c>
    </row>
    <row r="32" customFormat="false" ht="15" hidden="false" customHeight="false" outlineLevel="0" collapsed="false">
      <c r="C32" s="23" t="s">
        <v>369</v>
      </c>
      <c r="D32" s="32" t="str">
        <f aca="false">IFERROR(AVERAGE(D23:D30)-AVERAGE(D5:D12),"")</f>
        <v/>
      </c>
      <c r="E32" s="32" t="str">
        <f aca="false">IFERROR(AVERAGE(E23:E30)-AVERAGE(E5:E12),"")</f>
        <v/>
      </c>
      <c r="F32" s="32" t="str">
        <f aca="false">IFERROR(AVERAGE(F23:F30)-AVERAGE(F5:F12),"")</f>
        <v/>
      </c>
      <c r="G32" s="32" t="str">
        <f aca="false">IFERROR(AVERAGE(G23:G30)-AVERAGE(G5:G12),"")</f>
        <v/>
      </c>
      <c r="H32" s="32" t="str">
        <f aca="false">IFERROR(AVERAGE(H23:H30)-AVERAGE(H5:H12),"")</f>
        <v/>
      </c>
      <c r="I32" s="32" t="str">
        <f aca="false">IFERROR(AVERAGE(I23:I30)-AVERAGE(I5:I12),"")</f>
        <v/>
      </c>
      <c r="J32" s="32" t="str">
        <f aca="false">IFERROR(AVERAGE(J23:J30)-AVERAGE(J5:J12),"")</f>
        <v/>
      </c>
      <c r="K32" s="32" t="str">
        <f aca="false">IFERROR(AVERAGE(K23:K30)-AVERAGE(K5:K12),"")</f>
        <v/>
      </c>
      <c r="L32" s="32" t="str">
        <f aca="false">IFERROR(AVERAGE(L23:L30)-AVERAGE(L5:L12),"")</f>
        <v/>
      </c>
      <c r="M32" s="32" t="str">
        <f aca="false">IFERROR(AVERAGE(M23:M30)-AVERAGE(M5:M12),"")</f>
        <v/>
      </c>
      <c r="N32" s="32" t="str">
        <f aca="false">IFERROR(AVERAGE(N23:N30)-AVERAGE(N5:N12),"")</f>
        <v/>
      </c>
      <c r="O32" s="32" t="str">
        <f aca="false">IFERROR(AVERAGE(O23:O30)-AVERAGE(O5:O12),"")</f>
        <v/>
      </c>
    </row>
    <row r="34" customFormat="false" ht="15" hidden="false" customHeight="false" outlineLevel="0" collapsed="false">
      <c r="A34" s="2" t="s">
        <v>370</v>
      </c>
    </row>
  </sheetData>
  <dataValidations count="1">
    <dataValidation allowBlank="true" errorStyle="stop" operator="between" showDropDown="false" showErrorMessage="false" showInputMessage="false" sqref="D5:O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1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6" t="s">
        <v>371</v>
      </c>
    </row>
    <row r="2" customFormat="false" ht="15" hidden="false" customHeight="false" outlineLevel="0" collapsed="false">
      <c r="A2" s="2" t="s">
        <v>372</v>
      </c>
    </row>
    <row r="4" customFormat="false" ht="30" hidden="false" customHeight="true" outlineLevel="0" collapsed="false">
      <c r="A4" s="7" t="s">
        <v>54</v>
      </c>
      <c r="B4" s="7" t="s">
        <v>55</v>
      </c>
      <c r="C4" s="7" t="s">
        <v>373</v>
      </c>
      <c r="D4" s="7" t="s">
        <v>374</v>
      </c>
      <c r="E4" s="7" t="s">
        <v>375</v>
      </c>
      <c r="F4" s="7" t="s">
        <v>376</v>
      </c>
      <c r="G4" s="7" t="s">
        <v>377</v>
      </c>
      <c r="H4" s="7" t="s">
        <v>378</v>
      </c>
      <c r="I4" s="7" t="s">
        <v>379</v>
      </c>
      <c r="J4" s="7" t="s">
        <v>380</v>
      </c>
      <c r="K4" s="7" t="s">
        <v>381</v>
      </c>
      <c r="L4" s="7" t="s">
        <v>382</v>
      </c>
    </row>
    <row r="5" customFormat="false" ht="15" hidden="false" customHeight="false" outlineLevel="0" collapsed="false">
      <c r="A5" s="8" t="s">
        <v>61</v>
      </c>
      <c r="B5" s="33" t="str">
        <f aca="false">IFERROR(INDEX(TraineeMaster!$B$4:$B$16,MATCH($A5,TraineeMaster!$A$4:$A$16,0)),"")</f>
        <v>Rahul Sharma (example)</v>
      </c>
      <c r="C5" s="25" t="n">
        <v>4</v>
      </c>
      <c r="D5" s="25" t="n">
        <v>14</v>
      </c>
      <c r="E5" s="25" t="n">
        <v>4</v>
      </c>
      <c r="F5" s="25" t="n">
        <v>14</v>
      </c>
      <c r="G5" s="25" t="n">
        <v>4</v>
      </c>
      <c r="H5" s="25" t="n">
        <v>14</v>
      </c>
      <c r="I5" s="25" t="n">
        <v>4</v>
      </c>
      <c r="J5" s="25" t="n">
        <v>14</v>
      </c>
      <c r="K5" s="34" t="n">
        <f aca="false">IFERROR(AVERAGE(C5,E5,G5,I5),"")</f>
        <v>4</v>
      </c>
      <c r="L5" s="26" t="n">
        <f aca="false">IFERROR(AVERAGE(D5,F5,H5,J5)/20,"")</f>
        <v>0.7</v>
      </c>
    </row>
    <row r="6" customFormat="false" ht="15" hidden="false" customHeight="false" outlineLevel="0" collapsed="false">
      <c r="A6" s="8" t="s">
        <v>67</v>
      </c>
      <c r="B6" s="33" t="n">
        <f aca="false">IFERROR(INDEX(TraineeMaster!$B$4:$B$16,MATCH($A6,TraineeMaster!$A$4:$A$16,0)),"")</f>
        <v>0</v>
      </c>
      <c r="C6" s="25"/>
      <c r="D6" s="25"/>
      <c r="E6" s="25"/>
      <c r="F6" s="25"/>
      <c r="G6" s="25"/>
      <c r="H6" s="25"/>
      <c r="I6" s="25"/>
      <c r="J6" s="25"/>
      <c r="K6" s="34" t="str">
        <f aca="false">IFERROR(AVERAGE(C6,E6,G6,I6),"")</f>
        <v/>
      </c>
      <c r="L6" s="26" t="str">
        <f aca="false">IFERROR(AVERAGE(D6,F6,H6,J6)/20,"")</f>
        <v/>
      </c>
    </row>
    <row r="7" customFormat="false" ht="15" hidden="false" customHeight="false" outlineLevel="0" collapsed="false">
      <c r="A7" s="8" t="s">
        <v>68</v>
      </c>
      <c r="B7" s="33" t="n">
        <f aca="false">IFERROR(INDEX(TraineeMaster!$B$4:$B$16,MATCH($A7,TraineeMaster!$A$4:$A$16,0)),"")</f>
        <v>0</v>
      </c>
      <c r="C7" s="25"/>
      <c r="D7" s="25"/>
      <c r="E7" s="25"/>
      <c r="F7" s="25"/>
      <c r="G7" s="25"/>
      <c r="H7" s="25"/>
      <c r="I7" s="25"/>
      <c r="J7" s="25"/>
      <c r="K7" s="34" t="str">
        <f aca="false">IFERROR(AVERAGE(C7,E7,G7,I7),"")</f>
        <v/>
      </c>
      <c r="L7" s="26" t="str">
        <f aca="false">IFERROR(AVERAGE(D7,F7,H7,J7)/20,"")</f>
        <v/>
      </c>
    </row>
    <row r="8" customFormat="false" ht="15" hidden="false" customHeight="false" outlineLevel="0" collapsed="false">
      <c r="A8" s="8" t="s">
        <v>69</v>
      </c>
      <c r="B8" s="33" t="n">
        <f aca="false">IFERROR(INDEX(TraineeMaster!$B$4:$B$16,MATCH($A8,TraineeMaster!$A$4:$A$16,0)),"")</f>
        <v>0</v>
      </c>
      <c r="C8" s="25"/>
      <c r="D8" s="25"/>
      <c r="E8" s="25"/>
      <c r="F8" s="25"/>
      <c r="G8" s="25"/>
      <c r="H8" s="25"/>
      <c r="I8" s="25"/>
      <c r="J8" s="25"/>
      <c r="K8" s="34" t="str">
        <f aca="false">IFERROR(AVERAGE(C8,E8,G8,I8),"")</f>
        <v/>
      </c>
      <c r="L8" s="26" t="str">
        <f aca="false">IFERROR(AVERAGE(D8,F8,H8,J8)/20,"")</f>
        <v/>
      </c>
    </row>
    <row r="9" customFormat="false" ht="15" hidden="false" customHeight="false" outlineLevel="0" collapsed="false">
      <c r="A9" s="8" t="s">
        <v>70</v>
      </c>
      <c r="B9" s="33" t="n">
        <f aca="false">IFERROR(INDEX(TraineeMaster!$B$4:$B$16,MATCH($A9,TraineeMaster!$A$4:$A$16,0)),"")</f>
        <v>0</v>
      </c>
      <c r="C9" s="25"/>
      <c r="D9" s="25"/>
      <c r="E9" s="25"/>
      <c r="F9" s="25"/>
      <c r="G9" s="25"/>
      <c r="H9" s="25"/>
      <c r="I9" s="25"/>
      <c r="J9" s="25"/>
      <c r="K9" s="34" t="str">
        <f aca="false">IFERROR(AVERAGE(C9,E9,G9,I9),"")</f>
        <v/>
      </c>
      <c r="L9" s="26" t="str">
        <f aca="false">IFERROR(AVERAGE(D9,F9,H9,J9)/20,"")</f>
        <v/>
      </c>
    </row>
    <row r="10" customFormat="false" ht="15" hidden="false" customHeight="false" outlineLevel="0" collapsed="false">
      <c r="A10" s="8" t="s">
        <v>71</v>
      </c>
      <c r="B10" s="33" t="n">
        <f aca="false">IFERROR(INDEX(TraineeMaster!$B$4:$B$16,MATCH($A10,TraineeMaster!$A$4:$A$16,0)),"")</f>
        <v>0</v>
      </c>
      <c r="C10" s="25"/>
      <c r="D10" s="25"/>
      <c r="E10" s="25"/>
      <c r="F10" s="25"/>
      <c r="G10" s="25"/>
      <c r="H10" s="25"/>
      <c r="I10" s="25"/>
      <c r="J10" s="25"/>
      <c r="K10" s="34" t="str">
        <f aca="false">IFERROR(AVERAGE(C10,E10,G10,I10),"")</f>
        <v/>
      </c>
      <c r="L10" s="26" t="str">
        <f aca="false">IFERROR(AVERAGE(D10,F10,H10,J10)/20,"")</f>
        <v/>
      </c>
    </row>
    <row r="11" customFormat="false" ht="15" hidden="false" customHeight="false" outlineLevel="0" collapsed="false">
      <c r="A11" s="8" t="s">
        <v>72</v>
      </c>
      <c r="B11" s="33" t="n">
        <f aca="false">IFERROR(INDEX(TraineeMaster!$B$4:$B$16,MATCH($A11,TraineeMaster!$A$4:$A$16,0)),"")</f>
        <v>0</v>
      </c>
      <c r="C11" s="25"/>
      <c r="D11" s="25"/>
      <c r="E11" s="25"/>
      <c r="F11" s="25"/>
      <c r="G11" s="25"/>
      <c r="H11" s="25"/>
      <c r="I11" s="25"/>
      <c r="J11" s="25"/>
      <c r="K11" s="34" t="str">
        <f aca="false">IFERROR(AVERAGE(C11,E11,G11,I11),"")</f>
        <v/>
      </c>
      <c r="L11" s="26" t="str">
        <f aca="false">IFERROR(AVERAGE(D11,F11,H11,J11)/20,"")</f>
        <v/>
      </c>
    </row>
    <row r="12" customFormat="false" ht="15" hidden="false" customHeight="false" outlineLevel="0" collapsed="false">
      <c r="A12" s="8" t="s">
        <v>73</v>
      </c>
      <c r="B12" s="33" t="n">
        <f aca="false">IFERROR(INDEX(TraineeMaster!$B$4:$B$16,MATCH($A12,TraineeMaster!$A$4:$A$16,0)),"")</f>
        <v>0</v>
      </c>
      <c r="C12" s="25"/>
      <c r="D12" s="25"/>
      <c r="E12" s="25"/>
      <c r="F12" s="25"/>
      <c r="G12" s="25"/>
      <c r="H12" s="25"/>
      <c r="I12" s="25"/>
      <c r="J12" s="25"/>
      <c r="K12" s="34" t="str">
        <f aca="false">IFERROR(AVERAGE(C12,E12,G12,I12),"")</f>
        <v/>
      </c>
      <c r="L12" s="26" t="str">
        <f aca="false">IFERROR(AVERAGE(D12,F12,H12,J12)/20,"")</f>
        <v/>
      </c>
    </row>
    <row r="13" customFormat="false" ht="15" hidden="false" customHeight="false" outlineLevel="0" collapsed="false">
      <c r="A13" s="8" t="s">
        <v>74</v>
      </c>
      <c r="B13" s="33" t="n">
        <f aca="false">IFERROR(INDEX(TraineeMaster!$B$4:$B$16,MATCH($A13,TraineeMaster!$A$4:$A$16,0)),"")</f>
        <v>0</v>
      </c>
      <c r="C13" s="25"/>
      <c r="D13" s="25"/>
      <c r="E13" s="25"/>
      <c r="F13" s="25"/>
      <c r="G13" s="25"/>
      <c r="H13" s="25"/>
      <c r="I13" s="25"/>
      <c r="J13" s="25"/>
      <c r="K13" s="34" t="str">
        <f aca="false">IFERROR(AVERAGE(C13,E13,G13,I13),"")</f>
        <v/>
      </c>
      <c r="L13" s="26" t="str">
        <f aca="false">IFERROR(AVERAGE(D13,F13,H13,J13)/20,"")</f>
        <v/>
      </c>
    </row>
    <row r="14" customFormat="false" ht="15" hidden="false" customHeight="false" outlineLevel="0" collapsed="false">
      <c r="A14" s="8" t="s">
        <v>75</v>
      </c>
      <c r="B14" s="33" t="n">
        <f aca="false">IFERROR(INDEX(TraineeMaster!$B$4:$B$16,MATCH($A14,TraineeMaster!$A$4:$A$16,0)),"")</f>
        <v>0</v>
      </c>
      <c r="C14" s="25"/>
      <c r="D14" s="25"/>
      <c r="E14" s="25"/>
      <c r="F14" s="25"/>
      <c r="G14" s="25"/>
      <c r="H14" s="25"/>
      <c r="I14" s="25"/>
      <c r="J14" s="25"/>
      <c r="K14" s="34" t="str">
        <f aca="false">IFERROR(AVERAGE(C14,E14,G14,I14),"")</f>
        <v/>
      </c>
      <c r="L14" s="26" t="str">
        <f aca="false">IFERROR(AVERAGE(D14,F14,H14,J14)/20,"")</f>
        <v/>
      </c>
    </row>
    <row r="15" customFormat="false" ht="15" hidden="false" customHeight="false" outlineLevel="0" collapsed="false">
      <c r="A15" s="8" t="s">
        <v>76</v>
      </c>
      <c r="B15" s="33" t="n">
        <f aca="false">IFERROR(INDEX(TraineeMaster!$B$4:$B$16,MATCH($A15,TraineeMaster!$A$4:$A$16,0)),"")</f>
        <v>0</v>
      </c>
      <c r="C15" s="25"/>
      <c r="D15" s="25"/>
      <c r="E15" s="25"/>
      <c r="F15" s="25"/>
      <c r="G15" s="25"/>
      <c r="H15" s="25"/>
      <c r="I15" s="25"/>
      <c r="J15" s="25"/>
      <c r="K15" s="34" t="str">
        <f aca="false">IFERROR(AVERAGE(C15,E15,G15,I15),"")</f>
        <v/>
      </c>
      <c r="L15" s="26" t="str">
        <f aca="false">IFERROR(AVERAGE(D15,F15,H15,J15)/20,"")</f>
        <v/>
      </c>
    </row>
    <row r="16" customFormat="false" ht="15" hidden="false" customHeight="false" outlineLevel="0" collapsed="false">
      <c r="A16" s="8" t="s">
        <v>77</v>
      </c>
      <c r="B16" s="33" t="n">
        <f aca="false">IFERROR(INDEX(TraineeMaster!$B$4:$B$16,MATCH($A16,TraineeMaster!$A$4:$A$16,0)),"")</f>
        <v>0</v>
      </c>
      <c r="C16" s="25"/>
      <c r="D16" s="25"/>
      <c r="E16" s="25"/>
      <c r="F16" s="25"/>
      <c r="G16" s="25"/>
      <c r="H16" s="25"/>
      <c r="I16" s="25"/>
      <c r="J16" s="25"/>
      <c r="K16" s="34" t="str">
        <f aca="false">IFERROR(AVERAGE(C16,E16,G16,I16),"")</f>
        <v/>
      </c>
      <c r="L16" s="26" t="str">
        <f aca="false">IFERROR(AVERAGE(D16,F16,H16,J16)/20,"")</f>
        <v/>
      </c>
    </row>
    <row r="18" customFormat="false" ht="15" hidden="false" customHeight="false" outlineLevel="0" collapsed="false">
      <c r="B18" s="2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6" min="3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6" t="s">
        <v>384</v>
      </c>
    </row>
    <row r="2" customFormat="false" ht="15" hidden="false" customHeight="false" outlineLevel="0" collapsed="false">
      <c r="A2" s="2" t="s">
        <v>385</v>
      </c>
    </row>
    <row r="4" customFormat="false" ht="30" hidden="false" customHeight="true" outlineLevel="0" collapsed="false">
      <c r="A4" s="7" t="s">
        <v>54</v>
      </c>
      <c r="B4" s="7" t="s">
        <v>55</v>
      </c>
      <c r="C4" s="7" t="s">
        <v>386</v>
      </c>
      <c r="D4" s="7" t="s">
        <v>387</v>
      </c>
      <c r="E4" s="7" t="s">
        <v>388</v>
      </c>
      <c r="F4" s="7" t="s">
        <v>389</v>
      </c>
      <c r="G4" s="7" t="s">
        <v>390</v>
      </c>
      <c r="H4" s="7" t="s">
        <v>391</v>
      </c>
      <c r="I4" s="7" t="s">
        <v>392</v>
      </c>
    </row>
    <row r="5" customFormat="false" ht="25.5" hidden="false" customHeight="true" outlineLevel="0" collapsed="false">
      <c r="A5" s="8" t="s">
        <v>61</v>
      </c>
      <c r="B5" s="33" t="str">
        <f aca="false">IFERROR(INDEX(TraineeMaster!$B$5:$B$16,MATCH($A5,TraineeMaster!$A$5:$A$16,0)),"")</f>
        <v>Rahul Sharma (example)</v>
      </c>
      <c r="C5" s="25" t="n">
        <v>32</v>
      </c>
      <c r="D5" s="25" t="n">
        <v>27</v>
      </c>
      <c r="E5" s="25" t="n">
        <v>21</v>
      </c>
      <c r="F5" s="25" t="n">
        <v>22</v>
      </c>
      <c r="G5" s="35" t="n">
        <f aca="false">IFERROR(D5+E5+F5,"")</f>
        <v>70</v>
      </c>
      <c r="H5" s="35" t="n">
        <f aca="false">IFERROR(IF(C5&gt;=100,"",(G5-C5)/(100-C5)*100),"")</f>
        <v>55.8823529411765</v>
      </c>
      <c r="I5" s="36"/>
    </row>
    <row r="6" customFormat="false" ht="25.5" hidden="false" customHeight="true" outlineLevel="0" collapsed="false">
      <c r="A6" s="12" t="s">
        <v>67</v>
      </c>
      <c r="B6" s="37" t="n">
        <f aca="false">IFERROR(INDEX(TraineeMaster!$B$5:$B$16,MATCH($A6,TraineeMaster!$A$5:$A$16,0)),"")</f>
        <v>0</v>
      </c>
      <c r="C6" s="25"/>
      <c r="D6" s="25"/>
      <c r="E6" s="25"/>
      <c r="F6" s="25"/>
      <c r="G6" s="38" t="n">
        <f aca="false">IFERROR(D6+E6+F6,"")</f>
        <v>0</v>
      </c>
      <c r="H6" s="38" t="n">
        <f aca="false">IFERROR(IF(C6&gt;=100,"",(G6-C6)/(100-C6)*100),"")</f>
        <v>0</v>
      </c>
      <c r="I6" s="36"/>
    </row>
    <row r="7" customFormat="false" ht="25.5" hidden="false" customHeight="true" outlineLevel="0" collapsed="false">
      <c r="A7" s="8" t="s">
        <v>68</v>
      </c>
      <c r="B7" s="33" t="n">
        <f aca="false">IFERROR(INDEX(TraineeMaster!$B$5:$B$16,MATCH($A7,TraineeMaster!$A$5:$A$16,0)),"")</f>
        <v>0</v>
      </c>
      <c r="C7" s="25"/>
      <c r="D7" s="25"/>
      <c r="E7" s="25"/>
      <c r="F7" s="25"/>
      <c r="G7" s="35" t="n">
        <f aca="false">IFERROR(D7+E7+F7,"")</f>
        <v>0</v>
      </c>
      <c r="H7" s="35" t="n">
        <f aca="false">IFERROR(IF(C7&gt;=100,"",(G7-C7)/(100-C7)*100),"")</f>
        <v>0</v>
      </c>
      <c r="I7" s="36"/>
    </row>
    <row r="8" customFormat="false" ht="25.5" hidden="false" customHeight="true" outlineLevel="0" collapsed="false">
      <c r="A8" s="12" t="s">
        <v>69</v>
      </c>
      <c r="B8" s="37" t="n">
        <f aca="false">IFERROR(INDEX(TraineeMaster!$B$5:$B$16,MATCH($A8,TraineeMaster!$A$5:$A$16,0)),"")</f>
        <v>0</v>
      </c>
      <c r="C8" s="25"/>
      <c r="D8" s="25"/>
      <c r="E8" s="25"/>
      <c r="F8" s="25"/>
      <c r="G8" s="38" t="n">
        <f aca="false">IFERROR(D8+E8+F8,"")</f>
        <v>0</v>
      </c>
      <c r="H8" s="38" t="n">
        <f aca="false">IFERROR(IF(C8&gt;=100,"",(G8-C8)/(100-C8)*100),"")</f>
        <v>0</v>
      </c>
      <c r="I8" s="36"/>
    </row>
    <row r="9" customFormat="false" ht="25.5" hidden="false" customHeight="true" outlineLevel="0" collapsed="false">
      <c r="A9" s="8" t="s">
        <v>70</v>
      </c>
      <c r="B9" s="33" t="n">
        <f aca="false">IFERROR(INDEX(TraineeMaster!$B$5:$B$16,MATCH($A9,TraineeMaster!$A$5:$A$16,0)),"")</f>
        <v>0</v>
      </c>
      <c r="C9" s="25"/>
      <c r="D9" s="25"/>
      <c r="E9" s="25"/>
      <c r="F9" s="25"/>
      <c r="G9" s="35" t="n">
        <f aca="false">IFERROR(D9+E9+F9,"")</f>
        <v>0</v>
      </c>
      <c r="H9" s="35" t="n">
        <f aca="false">IFERROR(IF(C9&gt;=100,"",(G9-C9)/(100-C9)*100),"")</f>
        <v>0</v>
      </c>
      <c r="I9" s="36"/>
    </row>
    <row r="10" customFormat="false" ht="25.5" hidden="false" customHeight="true" outlineLevel="0" collapsed="false">
      <c r="A10" s="12" t="s">
        <v>71</v>
      </c>
      <c r="B10" s="37" t="n">
        <f aca="false">IFERROR(INDEX(TraineeMaster!$B$5:$B$16,MATCH($A10,TraineeMaster!$A$5:$A$16,0)),"")</f>
        <v>0</v>
      </c>
      <c r="C10" s="25"/>
      <c r="D10" s="25"/>
      <c r="E10" s="25"/>
      <c r="F10" s="25"/>
      <c r="G10" s="38" t="n">
        <f aca="false">IFERROR(D10+E10+F10,"")</f>
        <v>0</v>
      </c>
      <c r="H10" s="38" t="n">
        <f aca="false">IFERROR(IF(C10&gt;=100,"",(G10-C10)/(100-C10)*100),"")</f>
        <v>0</v>
      </c>
      <c r="I10" s="36"/>
    </row>
    <row r="11" customFormat="false" ht="25.5" hidden="false" customHeight="true" outlineLevel="0" collapsed="false">
      <c r="A11" s="8" t="s">
        <v>72</v>
      </c>
      <c r="B11" s="33" t="n">
        <f aca="false">IFERROR(INDEX(TraineeMaster!$B$5:$B$16,MATCH($A11,TraineeMaster!$A$5:$A$16,0)),"")</f>
        <v>0</v>
      </c>
      <c r="C11" s="25"/>
      <c r="D11" s="25"/>
      <c r="E11" s="25"/>
      <c r="F11" s="25"/>
      <c r="G11" s="35" t="n">
        <f aca="false">IFERROR(D11+E11+F11,"")</f>
        <v>0</v>
      </c>
      <c r="H11" s="35" t="n">
        <f aca="false">IFERROR(IF(C11&gt;=100,"",(G11-C11)/(100-C11)*100),"")</f>
        <v>0</v>
      </c>
      <c r="I11" s="36"/>
    </row>
    <row r="12" customFormat="false" ht="25.5" hidden="false" customHeight="true" outlineLevel="0" collapsed="false">
      <c r="A12" s="12" t="s">
        <v>73</v>
      </c>
      <c r="B12" s="37" t="n">
        <f aca="false">IFERROR(INDEX(TraineeMaster!$B$5:$B$16,MATCH($A12,TraineeMaster!$A$5:$A$16,0)),"")</f>
        <v>0</v>
      </c>
      <c r="C12" s="25"/>
      <c r="D12" s="25"/>
      <c r="E12" s="25"/>
      <c r="F12" s="25"/>
      <c r="G12" s="38" t="n">
        <f aca="false">IFERROR(D12+E12+F12,"")</f>
        <v>0</v>
      </c>
      <c r="H12" s="38" t="n">
        <f aca="false">IFERROR(IF(C12&gt;=100,"",(G12-C12)/(100-C12)*100),"")</f>
        <v>0</v>
      </c>
      <c r="I12" s="36"/>
    </row>
    <row r="13" customFormat="false" ht="25.5" hidden="false" customHeight="true" outlineLevel="0" collapsed="false">
      <c r="A13" s="8" t="s">
        <v>74</v>
      </c>
      <c r="B13" s="33" t="n">
        <f aca="false">IFERROR(INDEX(TraineeMaster!$B$5:$B$16,MATCH($A13,TraineeMaster!$A$5:$A$16,0)),"")</f>
        <v>0</v>
      </c>
      <c r="C13" s="25"/>
      <c r="D13" s="25"/>
      <c r="E13" s="25"/>
      <c r="F13" s="25"/>
      <c r="G13" s="35" t="n">
        <f aca="false">IFERROR(D13+E13+F13,"")</f>
        <v>0</v>
      </c>
      <c r="H13" s="35" t="n">
        <f aca="false">IFERROR(IF(C13&gt;=100,"",(G13-C13)/(100-C13)*100),"")</f>
        <v>0</v>
      </c>
      <c r="I13" s="36"/>
    </row>
    <row r="14" customFormat="false" ht="25.5" hidden="false" customHeight="true" outlineLevel="0" collapsed="false">
      <c r="A14" s="12" t="s">
        <v>75</v>
      </c>
      <c r="B14" s="37" t="n">
        <f aca="false">IFERROR(INDEX(TraineeMaster!$B$5:$B$16,MATCH($A14,TraineeMaster!$A$5:$A$16,0)),"")</f>
        <v>0</v>
      </c>
      <c r="C14" s="25"/>
      <c r="D14" s="25"/>
      <c r="E14" s="25"/>
      <c r="F14" s="25"/>
      <c r="G14" s="38" t="n">
        <f aca="false">IFERROR(D14+E14+F14,"")</f>
        <v>0</v>
      </c>
      <c r="H14" s="38" t="n">
        <f aca="false">IFERROR(IF(C14&gt;=100,"",(G14-C14)/(100-C14)*100),"")</f>
        <v>0</v>
      </c>
      <c r="I14" s="36"/>
    </row>
    <row r="15" customFormat="false" ht="25.5" hidden="false" customHeight="true" outlineLevel="0" collapsed="false">
      <c r="A15" s="8" t="s">
        <v>76</v>
      </c>
      <c r="B15" s="33" t="n">
        <f aca="false">IFERROR(INDEX(TraineeMaster!$B$5:$B$16,MATCH($A15,TraineeMaster!$A$5:$A$16,0)),"")</f>
        <v>0</v>
      </c>
      <c r="C15" s="25"/>
      <c r="D15" s="25"/>
      <c r="E15" s="25"/>
      <c r="F15" s="25"/>
      <c r="G15" s="35" t="n">
        <f aca="false">IFERROR(D15+E15+F15,"")</f>
        <v>0</v>
      </c>
      <c r="H15" s="35" t="n">
        <f aca="false">IFERROR(IF(C15&gt;=100,"",(G15-C15)/(100-C15)*100),"")</f>
        <v>0</v>
      </c>
      <c r="I15" s="36"/>
    </row>
    <row r="16" customFormat="false" ht="25.5" hidden="false" customHeight="true" outlineLevel="0" collapsed="false">
      <c r="A16" s="12" t="s">
        <v>77</v>
      </c>
      <c r="B16" s="37" t="n">
        <f aca="false">IFERROR(INDEX(TraineeMaster!$B$5:$B$16,MATCH($A16,TraineeMaster!$A$5:$A$16,0)),"")</f>
        <v>0</v>
      </c>
      <c r="C16" s="25"/>
      <c r="D16" s="25"/>
      <c r="E16" s="25"/>
      <c r="F16" s="25"/>
      <c r="G16" s="38" t="n">
        <f aca="false">IFERROR(D16+E16+F16,"")</f>
        <v>0</v>
      </c>
      <c r="H16" s="38" t="n">
        <f aca="false">IFERROR(IF(C16&gt;=100,"",(G16-C16)/(100-C16)*100),"")</f>
        <v>0</v>
      </c>
      <c r="I16" s="36"/>
    </row>
    <row r="18" customFormat="false" ht="15" hidden="false" customHeight="false" outlineLevel="0" collapsed="false">
      <c r="B18" s="2" t="s">
        <v>393</v>
      </c>
    </row>
    <row r="19" customFormat="false" ht="15" hidden="false" customHeight="false" outlineLevel="0" collapsed="false">
      <c r="B19" s="2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10" min="3" style="0" width="11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17.35" hidden="false" customHeight="false" outlineLevel="0" collapsed="false">
      <c r="A1" s="6" t="s">
        <v>395</v>
      </c>
    </row>
    <row r="2" customFormat="false" ht="15" hidden="false" customHeight="false" outlineLevel="0" collapsed="false">
      <c r="A2" s="2" t="s">
        <v>396</v>
      </c>
    </row>
    <row r="4" customFormat="false" ht="15" hidden="false" customHeight="false" outlineLevel="0" collapsed="false">
      <c r="A4" s="4" t="s">
        <v>397</v>
      </c>
      <c r="C4" s="39" t="n">
        <v>0.15</v>
      </c>
      <c r="D4" s="39" t="n">
        <v>0.15</v>
      </c>
      <c r="E4" s="39" t="n">
        <v>0.15</v>
      </c>
      <c r="F4" s="39" t="n">
        <v>0.25</v>
      </c>
      <c r="G4" s="39" t="n">
        <v>0.15</v>
      </c>
      <c r="H4" s="39" t="n">
        <v>0.15</v>
      </c>
      <c r="I4" s="40" t="n">
        <f aca="false">SUM(C4:H4)</f>
        <v>1</v>
      </c>
      <c r="J4" s="2" t="s">
        <v>398</v>
      </c>
    </row>
    <row r="6" customFormat="false" ht="30" hidden="false" customHeight="true" outlineLevel="0" collapsed="false">
      <c r="A6" s="7" t="s">
        <v>54</v>
      </c>
      <c r="B6" s="7" t="s">
        <v>55</v>
      </c>
      <c r="C6" s="7" t="s">
        <v>399</v>
      </c>
      <c r="D6" s="7" t="s">
        <v>400</v>
      </c>
      <c r="E6" s="7" t="s">
        <v>401</v>
      </c>
      <c r="F6" s="7" t="s">
        <v>390</v>
      </c>
      <c r="G6" s="7" t="s">
        <v>402</v>
      </c>
      <c r="H6" s="7" t="s">
        <v>403</v>
      </c>
      <c r="I6" s="7" t="s">
        <v>404</v>
      </c>
      <c r="J6" s="7" t="s">
        <v>391</v>
      </c>
      <c r="K6" s="7" t="s">
        <v>405</v>
      </c>
      <c r="L6" s="7" t="s">
        <v>406</v>
      </c>
    </row>
    <row r="7" customFormat="false" ht="24" hidden="false" customHeight="true" outlineLevel="0" collapsed="false">
      <c r="A7" s="8" t="s">
        <v>61</v>
      </c>
      <c r="B7" s="33" t="str">
        <f aca="false">IFERROR(INDEX(TraineeMaster!$B$5:$B$16,MATCH($A7,TraineeMaster!$A$5:$A$16,0)),"")</f>
        <v>Rahul Sharma (example)</v>
      </c>
      <c r="C7" s="41" t="n">
        <f aca="false">IFERROR(DailyLog!D$31,"")</f>
        <v>3</v>
      </c>
      <c r="D7" s="41" t="n">
        <f aca="false">IFERROR(Weekly!$K5,"")</f>
        <v>4</v>
      </c>
      <c r="E7" s="42" t="n">
        <f aca="false">IFERROR(Weekly!$L5*20,"")</f>
        <v>14</v>
      </c>
      <c r="F7" s="43" t="n">
        <f aca="false">IFERROR(GateD11!$G5,"")</f>
        <v>70</v>
      </c>
      <c r="G7" s="25" t="n">
        <v>72</v>
      </c>
      <c r="H7" s="25" t="n">
        <v>68</v>
      </c>
      <c r="I7" s="44" t="n">
        <f aca="false">IFERROR(C7/5*100*$C$4 + D7/5*100*$D$4 + E7/20*100*$E$4 + F7*$F$4 + G7*$G$4 + H7*$H$4,"")</f>
        <v>70</v>
      </c>
      <c r="J7" s="43" t="n">
        <f aca="false">IFERROR(GateD11!$H5,"")</f>
        <v>55.8823529411765</v>
      </c>
      <c r="K7" s="8" t="str">
        <f aca="false">IFERROR(IF(AND(I7&gt;=75,J7&gt;=55),"A",IF(I7&gt;=60,"B",IF(I7&gt;=45,"C","D"))),"")</f>
        <v>B</v>
      </c>
      <c r="L7" s="10" t="str">
        <f aca="false">IFERROR(IF(K7="A","Harder immersion scope, weekly supervision",IF(K7="B","Standard immersion scope, daily supervision",IF(K7="C","Improvement plan naming two gaps + named mentor, re-check next month",IF(K7="D","Written conversation with Deepti now - NOT an exit, Gateway is the exit point","")))),"")</f>
        <v>Standard immersion scope, daily supervision</v>
      </c>
    </row>
    <row r="8" customFormat="false" ht="24" hidden="false" customHeight="true" outlineLevel="0" collapsed="false">
      <c r="A8" s="12" t="s">
        <v>67</v>
      </c>
      <c r="B8" s="37" t="n">
        <f aca="false">IFERROR(INDEX(TraineeMaster!$B$5:$B$16,MATCH($A8,TraineeMaster!$A$5:$A$16,0)),"")</f>
        <v>0</v>
      </c>
      <c r="C8" s="45" t="n">
        <f aca="false">IFERROR(DailyLog!E$31,"")</f>
        <v>3</v>
      </c>
      <c r="D8" s="45" t="str">
        <f aca="false">IFERROR(Weekly!$K6,"")</f>
        <v/>
      </c>
      <c r="E8" s="46" t="str">
        <f aca="false">IFERROR(Weekly!$L6*20,"")</f>
        <v/>
      </c>
      <c r="F8" s="47" t="n">
        <f aca="false">IFERROR(GateD11!$G6,"")</f>
        <v>0</v>
      </c>
      <c r="G8" s="25"/>
      <c r="H8" s="25"/>
      <c r="I8" s="48" t="str">
        <f aca="false">IFERROR(C8/5*100*$C$4 + D8/5*100*$D$4 + E8/20*100*$E$4 + F8*$F$4 + G8*$G$4 + H8*$H$4,"")</f>
        <v/>
      </c>
      <c r="J8" s="47" t="n">
        <f aca="false">IFERROR(GateD11!$H6,"")</f>
        <v>0</v>
      </c>
      <c r="K8" s="12" t="str">
        <f aca="false">IFERROR(IF(AND(I8&gt;=75,J8&gt;=55),"A",IF(I8&gt;=60,"B",IF(I8&gt;=45,"C","D"))),"")</f>
        <v>B</v>
      </c>
      <c r="L8" s="14" t="str">
        <f aca="false">IFERROR(IF(K8="A","Harder immersion scope, weekly supervision",IF(K8="B","Standard immersion scope, daily supervision",IF(K8="C","Improvement plan naming two gaps + named mentor, re-check next month",IF(K8="D","Written conversation with Deepti now - NOT an exit, Gateway is the exit point","")))),"")</f>
        <v>Standard immersion scope, daily supervision</v>
      </c>
    </row>
    <row r="9" customFormat="false" ht="24" hidden="false" customHeight="true" outlineLevel="0" collapsed="false">
      <c r="A9" s="8" t="s">
        <v>68</v>
      </c>
      <c r="B9" s="33" t="n">
        <f aca="false">IFERROR(INDEX(TraineeMaster!$B$5:$B$16,MATCH($A9,TraineeMaster!$A$5:$A$16,0)),"")</f>
        <v>0</v>
      </c>
      <c r="C9" s="41" t="n">
        <f aca="false">IFERROR(DailyLog!F$31,"")</f>
        <v>3</v>
      </c>
      <c r="D9" s="41" t="str">
        <f aca="false">IFERROR(Weekly!$K7,"")</f>
        <v/>
      </c>
      <c r="E9" s="42" t="str">
        <f aca="false">IFERROR(Weekly!$L7*20,"")</f>
        <v/>
      </c>
      <c r="F9" s="43" t="n">
        <f aca="false">IFERROR(GateD11!$G7,"")</f>
        <v>0</v>
      </c>
      <c r="G9" s="25"/>
      <c r="H9" s="25"/>
      <c r="I9" s="44" t="str">
        <f aca="false">IFERROR(C9/5*100*$C$4 + D9/5*100*$D$4 + E9/20*100*$E$4 + F9*$F$4 + G9*$G$4 + H9*$H$4,"")</f>
        <v/>
      </c>
      <c r="J9" s="43" t="n">
        <f aca="false">IFERROR(GateD11!$H7,"")</f>
        <v>0</v>
      </c>
      <c r="K9" s="8" t="str">
        <f aca="false">IFERROR(IF(AND(I9&gt;=75,J9&gt;=55),"A",IF(I9&gt;=60,"B",IF(I9&gt;=45,"C","D"))),"")</f>
        <v>B</v>
      </c>
      <c r="L9" s="10" t="str">
        <f aca="false">IFERROR(IF(K9="A","Harder immersion scope, weekly supervision",IF(K9="B","Standard immersion scope, daily supervision",IF(K9="C","Improvement plan naming two gaps + named mentor, re-check next month",IF(K9="D","Written conversation with Deepti now - NOT an exit, Gateway is the exit point","")))),"")</f>
        <v>Standard immersion scope, daily supervision</v>
      </c>
    </row>
    <row r="10" customFormat="false" ht="24" hidden="false" customHeight="true" outlineLevel="0" collapsed="false">
      <c r="A10" s="12" t="s">
        <v>69</v>
      </c>
      <c r="B10" s="37" t="n">
        <f aca="false">IFERROR(INDEX(TraineeMaster!$B$5:$B$16,MATCH($A10,TraineeMaster!$A$5:$A$16,0)),"")</f>
        <v>0</v>
      </c>
      <c r="C10" s="45" t="n">
        <f aca="false">IFERROR(DailyLog!G$31,"")</f>
        <v>3</v>
      </c>
      <c r="D10" s="45" t="str">
        <f aca="false">IFERROR(Weekly!$K8,"")</f>
        <v/>
      </c>
      <c r="E10" s="46" t="str">
        <f aca="false">IFERROR(Weekly!$L8*20,"")</f>
        <v/>
      </c>
      <c r="F10" s="47" t="n">
        <f aca="false">IFERROR(GateD11!$G8,"")</f>
        <v>0</v>
      </c>
      <c r="G10" s="25"/>
      <c r="H10" s="25"/>
      <c r="I10" s="48" t="str">
        <f aca="false">IFERROR(C10/5*100*$C$4 + D10/5*100*$D$4 + E10/20*100*$E$4 + F10*$F$4 + G10*$G$4 + H10*$H$4,"")</f>
        <v/>
      </c>
      <c r="J10" s="47" t="n">
        <f aca="false">IFERROR(GateD11!$H8,"")</f>
        <v>0</v>
      </c>
      <c r="K10" s="12" t="str">
        <f aca="false">IFERROR(IF(AND(I10&gt;=75,J10&gt;=55),"A",IF(I10&gt;=60,"B",IF(I10&gt;=45,"C","D"))),"")</f>
        <v>B</v>
      </c>
      <c r="L10" s="14" t="str">
        <f aca="false">IFERROR(IF(K10="A","Harder immersion scope, weekly supervision",IF(K10="B","Standard immersion scope, daily supervision",IF(K10="C","Improvement plan naming two gaps + named mentor, re-check next month",IF(K10="D","Written conversation with Deepti now - NOT an exit, Gateway is the exit point","")))),"")</f>
        <v>Standard immersion scope, daily supervision</v>
      </c>
    </row>
    <row r="11" customFormat="false" ht="24" hidden="false" customHeight="true" outlineLevel="0" collapsed="false">
      <c r="A11" s="8" t="s">
        <v>70</v>
      </c>
      <c r="B11" s="33" t="n">
        <f aca="false">IFERROR(INDEX(TraineeMaster!$B$5:$B$16,MATCH($A11,TraineeMaster!$A$5:$A$16,0)),"")</f>
        <v>0</v>
      </c>
      <c r="C11" s="41" t="n">
        <f aca="false">IFERROR(DailyLog!H$31,"")</f>
        <v>3</v>
      </c>
      <c r="D11" s="41" t="str">
        <f aca="false">IFERROR(Weekly!$K9,"")</f>
        <v/>
      </c>
      <c r="E11" s="42" t="str">
        <f aca="false">IFERROR(Weekly!$L9*20,"")</f>
        <v/>
      </c>
      <c r="F11" s="43" t="n">
        <f aca="false">IFERROR(GateD11!$G9,"")</f>
        <v>0</v>
      </c>
      <c r="G11" s="25"/>
      <c r="H11" s="25"/>
      <c r="I11" s="44" t="str">
        <f aca="false">IFERROR(C11/5*100*$C$4 + D11/5*100*$D$4 + E11/20*100*$E$4 + F11*$F$4 + G11*$G$4 + H11*$H$4,"")</f>
        <v/>
      </c>
      <c r="J11" s="43" t="n">
        <f aca="false">IFERROR(GateD11!$H9,"")</f>
        <v>0</v>
      </c>
      <c r="K11" s="8" t="str">
        <f aca="false">IFERROR(IF(AND(I11&gt;=75,J11&gt;=55),"A",IF(I11&gt;=60,"B",IF(I11&gt;=45,"C","D"))),"")</f>
        <v>B</v>
      </c>
      <c r="L11" s="10" t="str">
        <f aca="false">IFERROR(IF(K11="A","Harder immersion scope, weekly supervision",IF(K11="B","Standard immersion scope, daily supervision",IF(K11="C","Improvement plan naming two gaps + named mentor, re-check next month",IF(K11="D","Written conversation with Deepti now - NOT an exit, Gateway is the exit point","")))),"")</f>
        <v>Standard immersion scope, daily supervision</v>
      </c>
    </row>
    <row r="12" customFormat="false" ht="24" hidden="false" customHeight="true" outlineLevel="0" collapsed="false">
      <c r="A12" s="12" t="s">
        <v>71</v>
      </c>
      <c r="B12" s="37" t="n">
        <f aca="false">IFERROR(INDEX(TraineeMaster!$B$5:$B$16,MATCH($A12,TraineeMaster!$A$5:$A$16,0)),"")</f>
        <v>0</v>
      </c>
      <c r="C12" s="45" t="n">
        <f aca="false">IFERROR(DailyLog!I$31,"")</f>
        <v>3</v>
      </c>
      <c r="D12" s="45" t="str">
        <f aca="false">IFERROR(Weekly!$K10,"")</f>
        <v/>
      </c>
      <c r="E12" s="46" t="str">
        <f aca="false">IFERROR(Weekly!$L10*20,"")</f>
        <v/>
      </c>
      <c r="F12" s="47" t="n">
        <f aca="false">IFERROR(GateD11!$G10,"")</f>
        <v>0</v>
      </c>
      <c r="G12" s="25"/>
      <c r="H12" s="25"/>
      <c r="I12" s="48" t="str">
        <f aca="false">IFERROR(C12/5*100*$C$4 + D12/5*100*$D$4 + E12/20*100*$E$4 + F12*$F$4 + G12*$G$4 + H12*$H$4,"")</f>
        <v/>
      </c>
      <c r="J12" s="47" t="n">
        <f aca="false">IFERROR(GateD11!$H10,"")</f>
        <v>0</v>
      </c>
      <c r="K12" s="12" t="str">
        <f aca="false">IFERROR(IF(AND(I12&gt;=75,J12&gt;=55),"A",IF(I12&gt;=60,"B",IF(I12&gt;=45,"C","D"))),"")</f>
        <v>B</v>
      </c>
      <c r="L12" s="14" t="str">
        <f aca="false">IFERROR(IF(K12="A","Harder immersion scope, weekly supervision",IF(K12="B","Standard immersion scope, daily supervision",IF(K12="C","Improvement plan naming two gaps + named mentor, re-check next month",IF(K12="D","Written conversation with Deepti now - NOT an exit, Gateway is the exit point","")))),"")</f>
        <v>Standard immersion scope, daily supervision</v>
      </c>
    </row>
    <row r="13" customFormat="false" ht="24" hidden="false" customHeight="true" outlineLevel="0" collapsed="false">
      <c r="A13" s="8" t="s">
        <v>72</v>
      </c>
      <c r="B13" s="33" t="n">
        <f aca="false">IFERROR(INDEX(TraineeMaster!$B$5:$B$16,MATCH($A13,TraineeMaster!$A$5:$A$16,0)),"")</f>
        <v>0</v>
      </c>
      <c r="C13" s="41" t="n">
        <f aca="false">IFERROR(DailyLog!J$31,"")</f>
        <v>3</v>
      </c>
      <c r="D13" s="41" t="str">
        <f aca="false">IFERROR(Weekly!$K11,"")</f>
        <v/>
      </c>
      <c r="E13" s="42" t="str">
        <f aca="false">IFERROR(Weekly!$L11*20,"")</f>
        <v/>
      </c>
      <c r="F13" s="43" t="n">
        <f aca="false">IFERROR(GateD11!$G11,"")</f>
        <v>0</v>
      </c>
      <c r="G13" s="25"/>
      <c r="H13" s="25"/>
      <c r="I13" s="44" t="str">
        <f aca="false">IFERROR(C13/5*100*$C$4 + D13/5*100*$D$4 + E13/20*100*$E$4 + F13*$F$4 + G13*$G$4 + H13*$H$4,"")</f>
        <v/>
      </c>
      <c r="J13" s="43" t="n">
        <f aca="false">IFERROR(GateD11!$H11,"")</f>
        <v>0</v>
      </c>
      <c r="K13" s="8" t="str">
        <f aca="false">IFERROR(IF(AND(I13&gt;=75,J13&gt;=55),"A",IF(I13&gt;=60,"B",IF(I13&gt;=45,"C","D"))),"")</f>
        <v>B</v>
      </c>
      <c r="L13" s="10" t="str">
        <f aca="false">IFERROR(IF(K13="A","Harder immersion scope, weekly supervision",IF(K13="B","Standard immersion scope, daily supervision",IF(K13="C","Improvement plan naming two gaps + named mentor, re-check next month",IF(K13="D","Written conversation with Deepti now - NOT an exit, Gateway is the exit point","")))),"")</f>
        <v>Standard immersion scope, daily supervision</v>
      </c>
    </row>
    <row r="14" customFormat="false" ht="24" hidden="false" customHeight="true" outlineLevel="0" collapsed="false">
      <c r="A14" s="12" t="s">
        <v>73</v>
      </c>
      <c r="B14" s="37" t="n">
        <f aca="false">IFERROR(INDEX(TraineeMaster!$B$5:$B$16,MATCH($A14,TraineeMaster!$A$5:$A$16,0)),"")</f>
        <v>0</v>
      </c>
      <c r="C14" s="45" t="n">
        <f aca="false">IFERROR(DailyLog!K$31,"")</f>
        <v>3</v>
      </c>
      <c r="D14" s="45" t="str">
        <f aca="false">IFERROR(Weekly!$K12,"")</f>
        <v/>
      </c>
      <c r="E14" s="46" t="str">
        <f aca="false">IFERROR(Weekly!$L12*20,"")</f>
        <v/>
      </c>
      <c r="F14" s="47" t="n">
        <f aca="false">IFERROR(GateD11!$G12,"")</f>
        <v>0</v>
      </c>
      <c r="G14" s="25"/>
      <c r="H14" s="25"/>
      <c r="I14" s="48" t="str">
        <f aca="false">IFERROR(C14/5*100*$C$4 + D14/5*100*$D$4 + E14/20*100*$E$4 + F14*$F$4 + G14*$G$4 + H14*$H$4,"")</f>
        <v/>
      </c>
      <c r="J14" s="47" t="n">
        <f aca="false">IFERROR(GateD11!$H12,"")</f>
        <v>0</v>
      </c>
      <c r="K14" s="12" t="str">
        <f aca="false">IFERROR(IF(AND(I14&gt;=75,J14&gt;=55),"A",IF(I14&gt;=60,"B",IF(I14&gt;=45,"C","D"))),"")</f>
        <v>B</v>
      </c>
      <c r="L14" s="14" t="str">
        <f aca="false">IFERROR(IF(K14="A","Harder immersion scope, weekly supervision",IF(K14="B","Standard immersion scope, daily supervision",IF(K14="C","Improvement plan naming two gaps + named mentor, re-check next month",IF(K14="D","Written conversation with Deepti now - NOT an exit, Gateway is the exit point","")))),"")</f>
        <v>Standard immersion scope, daily supervision</v>
      </c>
    </row>
    <row r="15" customFormat="false" ht="24" hidden="false" customHeight="true" outlineLevel="0" collapsed="false">
      <c r="A15" s="8" t="s">
        <v>74</v>
      </c>
      <c r="B15" s="33" t="n">
        <f aca="false">IFERROR(INDEX(TraineeMaster!$B$5:$B$16,MATCH($A15,TraineeMaster!$A$5:$A$16,0)),"")</f>
        <v>0</v>
      </c>
      <c r="C15" s="41" t="n">
        <f aca="false">IFERROR(DailyLog!L$31,"")</f>
        <v>3</v>
      </c>
      <c r="D15" s="41" t="str">
        <f aca="false">IFERROR(Weekly!$K13,"")</f>
        <v/>
      </c>
      <c r="E15" s="42" t="str">
        <f aca="false">IFERROR(Weekly!$L13*20,"")</f>
        <v/>
      </c>
      <c r="F15" s="43" t="n">
        <f aca="false">IFERROR(GateD11!$G13,"")</f>
        <v>0</v>
      </c>
      <c r="G15" s="25"/>
      <c r="H15" s="25"/>
      <c r="I15" s="44" t="str">
        <f aca="false">IFERROR(C15/5*100*$C$4 + D15/5*100*$D$4 + E15/20*100*$E$4 + F15*$F$4 + G15*$G$4 + H15*$H$4,"")</f>
        <v/>
      </c>
      <c r="J15" s="43" t="n">
        <f aca="false">IFERROR(GateD11!$H13,"")</f>
        <v>0</v>
      </c>
      <c r="K15" s="8" t="str">
        <f aca="false">IFERROR(IF(AND(I15&gt;=75,J15&gt;=55),"A",IF(I15&gt;=60,"B",IF(I15&gt;=45,"C","D"))),"")</f>
        <v>B</v>
      </c>
      <c r="L15" s="10" t="str">
        <f aca="false">IFERROR(IF(K15="A","Harder immersion scope, weekly supervision",IF(K15="B","Standard immersion scope, daily supervision",IF(K15="C","Improvement plan naming two gaps + named mentor, re-check next month",IF(K15="D","Written conversation with Deepti now - NOT an exit, Gateway is the exit point","")))),"")</f>
        <v>Standard immersion scope, daily supervision</v>
      </c>
    </row>
    <row r="16" customFormat="false" ht="24" hidden="false" customHeight="true" outlineLevel="0" collapsed="false">
      <c r="A16" s="12" t="s">
        <v>75</v>
      </c>
      <c r="B16" s="37" t="n">
        <f aca="false">IFERROR(INDEX(TraineeMaster!$B$5:$B$16,MATCH($A16,TraineeMaster!$A$5:$A$16,0)),"")</f>
        <v>0</v>
      </c>
      <c r="C16" s="45" t="n">
        <f aca="false">IFERROR(DailyLog!M$31,"")</f>
        <v>3</v>
      </c>
      <c r="D16" s="45" t="str">
        <f aca="false">IFERROR(Weekly!$K14,"")</f>
        <v/>
      </c>
      <c r="E16" s="46" t="str">
        <f aca="false">IFERROR(Weekly!$L14*20,"")</f>
        <v/>
      </c>
      <c r="F16" s="47" t="n">
        <f aca="false">IFERROR(GateD11!$G14,"")</f>
        <v>0</v>
      </c>
      <c r="G16" s="25"/>
      <c r="H16" s="25"/>
      <c r="I16" s="48" t="str">
        <f aca="false">IFERROR(C16/5*100*$C$4 + D16/5*100*$D$4 + E16/20*100*$E$4 + F16*$F$4 + G16*$G$4 + H16*$H$4,"")</f>
        <v/>
      </c>
      <c r="J16" s="47" t="n">
        <f aca="false">IFERROR(GateD11!$H14,"")</f>
        <v>0</v>
      </c>
      <c r="K16" s="12" t="str">
        <f aca="false">IFERROR(IF(AND(I16&gt;=75,J16&gt;=55),"A",IF(I16&gt;=60,"B",IF(I16&gt;=45,"C","D"))),"")</f>
        <v>B</v>
      </c>
      <c r="L16" s="14" t="str">
        <f aca="false">IFERROR(IF(K16="A","Harder immersion scope, weekly supervision",IF(K16="B","Standard immersion scope, daily supervision",IF(K16="C","Improvement plan naming two gaps + named mentor, re-check next month",IF(K16="D","Written conversation with Deepti now - NOT an exit, Gateway is the exit point","")))),"")</f>
        <v>Standard immersion scope, daily supervision</v>
      </c>
    </row>
    <row r="17" customFormat="false" ht="24" hidden="false" customHeight="true" outlineLevel="0" collapsed="false">
      <c r="A17" s="8" t="s">
        <v>76</v>
      </c>
      <c r="B17" s="33" t="n">
        <f aca="false">IFERROR(INDEX(TraineeMaster!$B$5:$B$16,MATCH($A17,TraineeMaster!$A$5:$A$16,0)),"")</f>
        <v>0</v>
      </c>
      <c r="C17" s="41" t="n">
        <f aca="false">IFERROR(DailyLog!N$31,"")</f>
        <v>3</v>
      </c>
      <c r="D17" s="41" t="str">
        <f aca="false">IFERROR(Weekly!$K15,"")</f>
        <v/>
      </c>
      <c r="E17" s="42" t="str">
        <f aca="false">IFERROR(Weekly!$L15*20,"")</f>
        <v/>
      </c>
      <c r="F17" s="43" t="n">
        <f aca="false">IFERROR(GateD11!$G15,"")</f>
        <v>0</v>
      </c>
      <c r="G17" s="25"/>
      <c r="H17" s="25"/>
      <c r="I17" s="44" t="str">
        <f aca="false">IFERROR(C17/5*100*$C$4 + D17/5*100*$D$4 + E17/20*100*$E$4 + F17*$F$4 + G17*$G$4 + H17*$H$4,"")</f>
        <v/>
      </c>
      <c r="J17" s="43" t="n">
        <f aca="false">IFERROR(GateD11!$H15,"")</f>
        <v>0</v>
      </c>
      <c r="K17" s="8" t="str">
        <f aca="false">IFERROR(IF(AND(I17&gt;=75,J17&gt;=55),"A",IF(I17&gt;=60,"B",IF(I17&gt;=45,"C","D"))),"")</f>
        <v>B</v>
      </c>
      <c r="L17" s="10" t="str">
        <f aca="false">IFERROR(IF(K17="A","Harder immersion scope, weekly supervision",IF(K17="B","Standard immersion scope, daily supervision",IF(K17="C","Improvement plan naming two gaps + named mentor, re-check next month",IF(K17="D","Written conversation with Deepti now - NOT an exit, Gateway is the exit point","")))),"")</f>
        <v>Standard immersion scope, daily supervision</v>
      </c>
    </row>
    <row r="18" customFormat="false" ht="24" hidden="false" customHeight="true" outlineLevel="0" collapsed="false">
      <c r="A18" s="12" t="s">
        <v>77</v>
      </c>
      <c r="B18" s="37" t="n">
        <f aca="false">IFERROR(INDEX(TraineeMaster!$B$5:$B$16,MATCH($A18,TraineeMaster!$A$5:$A$16,0)),"")</f>
        <v>0</v>
      </c>
      <c r="C18" s="45" t="n">
        <f aca="false">IFERROR(DailyLog!O$31,"")</f>
        <v>3</v>
      </c>
      <c r="D18" s="45" t="str">
        <f aca="false">IFERROR(Weekly!$K16,"")</f>
        <v/>
      </c>
      <c r="E18" s="46" t="str">
        <f aca="false">IFERROR(Weekly!$L16*20,"")</f>
        <v/>
      </c>
      <c r="F18" s="47" t="n">
        <f aca="false">IFERROR(GateD11!$G16,"")</f>
        <v>0</v>
      </c>
      <c r="G18" s="25"/>
      <c r="H18" s="25"/>
      <c r="I18" s="48" t="str">
        <f aca="false">IFERROR(C18/5*100*$C$4 + D18/5*100*$D$4 + E18/20*100*$E$4 + F18*$F$4 + G18*$G$4 + H18*$H$4,"")</f>
        <v/>
      </c>
      <c r="J18" s="47" t="n">
        <f aca="false">IFERROR(GateD11!$H16,"")</f>
        <v>0</v>
      </c>
      <c r="K18" s="12" t="str">
        <f aca="false">IFERROR(IF(AND(I18&gt;=75,J18&gt;=55),"A",IF(I18&gt;=60,"B",IF(I18&gt;=45,"C","D"))),"")</f>
        <v>B</v>
      </c>
      <c r="L18" s="14" t="str">
        <f aca="false">IFERROR(IF(K18="A","Harder immersion scope, weekly supervision",IF(K18="B","Standard immersion scope, daily supervision",IF(K18="C","Improvement plan naming two gaps + named mentor, re-check next month",IF(K18="D","Written conversation with Deepti now - NOT an exit, Gateway is the exit point","")))),"")</f>
        <v>Standard immersion scope, daily supervision</v>
      </c>
    </row>
    <row r="20" customFormat="false" ht="15" hidden="false" customHeight="false" outlineLevel="0" collapsed="false">
      <c r="B20" s="2" t="s">
        <v>407</v>
      </c>
    </row>
    <row r="21" customFormat="false" ht="15" hidden="false" customHeight="false" outlineLevel="0" collapsed="false">
      <c r="B21" s="2" t="s">
        <v>408</v>
      </c>
    </row>
    <row r="22" customFormat="false" ht="15" hidden="false" customHeight="false" outlineLevel="0" collapsed="false">
      <c r="B22" s="2" t="s">
        <v>409</v>
      </c>
    </row>
  </sheetData>
  <conditionalFormatting sqref="K7:K18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"C"</formula>
    </cfRule>
    <cfRule type="cellIs" priority="4" operator="equal" aboveAverage="0" equalAverage="0" bottom="0" percent="0" rank="0" text="" dxfId="2">
      <formula>"D"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5"/>
    <col collapsed="false" customWidth="true" hidden="false" outlineLevel="0" max="6" min="6" style="0" width="2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6" t="s">
        <v>410</v>
      </c>
    </row>
    <row r="2" customFormat="false" ht="15" hidden="false" customHeight="false" outlineLevel="0" collapsed="false">
      <c r="A2" s="2" t="s">
        <v>411</v>
      </c>
    </row>
    <row r="4" customFormat="false" ht="30" hidden="false" customHeight="true" outlineLevel="0" collapsed="false">
      <c r="A4" s="7" t="s">
        <v>54</v>
      </c>
      <c r="B4" s="7" t="s">
        <v>55</v>
      </c>
      <c r="C4" s="7" t="s">
        <v>412</v>
      </c>
      <c r="D4" s="7" t="s">
        <v>413</v>
      </c>
      <c r="E4" s="7" t="s">
        <v>414</v>
      </c>
      <c r="F4" s="7" t="s">
        <v>415</v>
      </c>
      <c r="G4" s="7" t="s">
        <v>416</v>
      </c>
    </row>
    <row r="5" customFormat="false" ht="24" hidden="false" customHeight="true" outlineLevel="0" collapsed="false">
      <c r="A5" s="8" t="s">
        <v>61</v>
      </c>
      <c r="B5" s="33" t="str">
        <f aca="false">IFERROR(INDEX(TraineeMaster!$B$5:$B$16,MATCH($A5,TraineeMaster!$A$5:$A$16,0)),"")</f>
        <v>Rahul Sharma (example)</v>
      </c>
      <c r="C5" s="25"/>
      <c r="D5" s="25"/>
      <c r="E5" s="25"/>
      <c r="F5" s="9"/>
      <c r="G5" s="9" t="s">
        <v>417</v>
      </c>
    </row>
    <row r="6" customFormat="false" ht="24" hidden="false" customHeight="true" outlineLevel="0" collapsed="false">
      <c r="A6" s="12" t="s">
        <v>67</v>
      </c>
      <c r="B6" s="37" t="n">
        <f aca="false">IFERROR(INDEX(TraineeMaster!$B$5:$B$16,MATCH($A6,TraineeMaster!$A$5:$A$16,0)),"")</f>
        <v>0</v>
      </c>
      <c r="C6" s="25"/>
      <c r="D6" s="25"/>
      <c r="E6" s="25"/>
      <c r="F6" s="9"/>
      <c r="G6" s="9"/>
    </row>
    <row r="7" customFormat="false" ht="24" hidden="false" customHeight="true" outlineLevel="0" collapsed="false">
      <c r="A7" s="8" t="s">
        <v>68</v>
      </c>
      <c r="B7" s="33" t="n">
        <f aca="false">IFERROR(INDEX(TraineeMaster!$B$5:$B$16,MATCH($A7,TraineeMaster!$A$5:$A$16,0)),"")</f>
        <v>0</v>
      </c>
      <c r="C7" s="25"/>
      <c r="D7" s="25"/>
      <c r="E7" s="25"/>
      <c r="F7" s="9"/>
      <c r="G7" s="9"/>
    </row>
    <row r="8" customFormat="false" ht="24" hidden="false" customHeight="true" outlineLevel="0" collapsed="false">
      <c r="A8" s="12" t="s">
        <v>69</v>
      </c>
      <c r="B8" s="37" t="n">
        <f aca="false">IFERROR(INDEX(TraineeMaster!$B$5:$B$16,MATCH($A8,TraineeMaster!$A$5:$A$16,0)),"")</f>
        <v>0</v>
      </c>
      <c r="C8" s="25"/>
      <c r="D8" s="25"/>
      <c r="E8" s="25"/>
      <c r="F8" s="9"/>
      <c r="G8" s="9"/>
    </row>
    <row r="9" customFormat="false" ht="24" hidden="false" customHeight="true" outlineLevel="0" collapsed="false">
      <c r="A9" s="8" t="s">
        <v>70</v>
      </c>
      <c r="B9" s="33" t="n">
        <f aca="false">IFERROR(INDEX(TraineeMaster!$B$5:$B$16,MATCH($A9,TraineeMaster!$A$5:$A$16,0)),"")</f>
        <v>0</v>
      </c>
      <c r="C9" s="25"/>
      <c r="D9" s="25"/>
      <c r="E9" s="25"/>
      <c r="F9" s="9"/>
      <c r="G9" s="9"/>
    </row>
    <row r="10" customFormat="false" ht="24" hidden="false" customHeight="true" outlineLevel="0" collapsed="false">
      <c r="A10" s="12" t="s">
        <v>71</v>
      </c>
      <c r="B10" s="37" t="n">
        <f aca="false">IFERROR(INDEX(TraineeMaster!$B$5:$B$16,MATCH($A10,TraineeMaster!$A$5:$A$16,0)),"")</f>
        <v>0</v>
      </c>
      <c r="C10" s="25"/>
      <c r="D10" s="25"/>
      <c r="E10" s="25"/>
      <c r="F10" s="9"/>
      <c r="G10" s="9"/>
    </row>
    <row r="11" customFormat="false" ht="24" hidden="false" customHeight="true" outlineLevel="0" collapsed="false">
      <c r="A11" s="8" t="s">
        <v>72</v>
      </c>
      <c r="B11" s="33" t="n">
        <f aca="false">IFERROR(INDEX(TraineeMaster!$B$5:$B$16,MATCH($A11,TraineeMaster!$A$5:$A$16,0)),"")</f>
        <v>0</v>
      </c>
      <c r="C11" s="25"/>
      <c r="D11" s="25"/>
      <c r="E11" s="25"/>
      <c r="F11" s="9"/>
      <c r="G11" s="9"/>
    </row>
    <row r="12" customFormat="false" ht="24" hidden="false" customHeight="true" outlineLevel="0" collapsed="false">
      <c r="A12" s="12" t="s">
        <v>73</v>
      </c>
      <c r="B12" s="37" t="n">
        <f aca="false">IFERROR(INDEX(TraineeMaster!$B$5:$B$16,MATCH($A12,TraineeMaster!$A$5:$A$16,0)),"")</f>
        <v>0</v>
      </c>
      <c r="C12" s="25"/>
      <c r="D12" s="25"/>
      <c r="E12" s="25"/>
      <c r="F12" s="9"/>
      <c r="G12" s="9"/>
    </row>
    <row r="13" customFormat="false" ht="24" hidden="false" customHeight="true" outlineLevel="0" collapsed="false">
      <c r="A13" s="8" t="s">
        <v>74</v>
      </c>
      <c r="B13" s="33" t="n">
        <f aca="false">IFERROR(INDEX(TraineeMaster!$B$5:$B$16,MATCH($A13,TraineeMaster!$A$5:$A$16,0)),"")</f>
        <v>0</v>
      </c>
      <c r="C13" s="25"/>
      <c r="D13" s="25"/>
      <c r="E13" s="25"/>
      <c r="F13" s="9"/>
      <c r="G13" s="9"/>
    </row>
    <row r="14" customFormat="false" ht="24" hidden="false" customHeight="true" outlineLevel="0" collapsed="false">
      <c r="A14" s="12" t="s">
        <v>75</v>
      </c>
      <c r="B14" s="37" t="n">
        <f aca="false">IFERROR(INDEX(TraineeMaster!$B$5:$B$16,MATCH($A14,TraineeMaster!$A$5:$A$16,0)),"")</f>
        <v>0</v>
      </c>
      <c r="C14" s="25"/>
      <c r="D14" s="25"/>
      <c r="E14" s="25"/>
      <c r="F14" s="9"/>
      <c r="G14" s="9"/>
    </row>
    <row r="15" customFormat="false" ht="24" hidden="false" customHeight="true" outlineLevel="0" collapsed="false">
      <c r="A15" s="8" t="s">
        <v>76</v>
      </c>
      <c r="B15" s="33" t="n">
        <f aca="false">IFERROR(INDEX(TraineeMaster!$B$5:$B$16,MATCH($A15,TraineeMaster!$A$5:$A$16,0)),"")</f>
        <v>0</v>
      </c>
      <c r="C15" s="25"/>
      <c r="D15" s="25"/>
      <c r="E15" s="25"/>
      <c r="F15" s="9"/>
      <c r="G15" s="9"/>
    </row>
    <row r="16" customFormat="false" ht="24" hidden="false" customHeight="true" outlineLevel="0" collapsed="false">
      <c r="A16" s="12" t="s">
        <v>77</v>
      </c>
      <c r="B16" s="37" t="n">
        <f aca="false">IFERROR(INDEX(TraineeMaster!$B$5:$B$16,MATCH($A16,TraineeMaster!$A$5:$A$16,0)),"")</f>
        <v>0</v>
      </c>
      <c r="C16" s="25"/>
      <c r="D16" s="25"/>
      <c r="E16" s="25"/>
      <c r="F16" s="9"/>
      <c r="G16" s="9"/>
    </row>
    <row r="18" customFormat="false" ht="15" hidden="false" customHeight="false" outlineLevel="0" collapsed="false">
      <c r="B18" s="49" t="s">
        <v>418</v>
      </c>
    </row>
    <row r="19" customFormat="false" ht="135.8" hidden="false" customHeight="false" outlineLevel="0" collapsed="false">
      <c r="B19" s="50" t="s">
        <v>419</v>
      </c>
    </row>
    <row r="20" customFormat="false" ht="124.6" hidden="false" customHeight="false" outlineLevel="0" collapsed="false">
      <c r="B20" s="50" t="s">
        <v>420</v>
      </c>
    </row>
    <row r="21" customFormat="false" ht="79.85" hidden="false" customHeight="false" outlineLevel="0" collapsed="false">
      <c r="B21" s="50" t="s">
        <v>421</v>
      </c>
    </row>
    <row r="22" customFormat="false" ht="79.85" hidden="false" customHeight="false" outlineLevel="0" collapsed="false">
      <c r="B22" s="50" t="s">
        <v>422</v>
      </c>
    </row>
    <row r="25" customFormat="false" ht="15" hidden="false" customHeight="false" outlineLevel="0" collapsed="false">
      <c r="B25" s="15" t="s">
        <v>423</v>
      </c>
    </row>
    <row r="26" customFormat="false" ht="30" hidden="false" customHeight="true" outlineLevel="0" collapsed="false">
      <c r="A26" s="7"/>
      <c r="B26" s="7" t="s">
        <v>230</v>
      </c>
      <c r="C26" s="7" t="s">
        <v>179</v>
      </c>
      <c r="D26" s="7" t="s">
        <v>86</v>
      </c>
      <c r="E26" s="7"/>
      <c r="F26" s="7"/>
      <c r="G26" s="7"/>
    </row>
    <row r="27" customFormat="false" ht="15" hidden="false" customHeight="false" outlineLevel="0" collapsed="false">
      <c r="B27" s="16" t="s">
        <v>424</v>
      </c>
      <c r="C27" s="10" t="s">
        <v>425</v>
      </c>
      <c r="D27" s="10" t="s">
        <v>426</v>
      </c>
    </row>
    <row r="28" customFormat="false" ht="15" hidden="false" customHeight="false" outlineLevel="0" collapsed="false">
      <c r="B28" s="17" t="s">
        <v>427</v>
      </c>
      <c r="C28" s="14" t="s">
        <v>428</v>
      </c>
      <c r="D28" s="14" t="s">
        <v>426</v>
      </c>
    </row>
    <row r="29" customFormat="false" ht="15" hidden="false" customHeight="false" outlineLevel="0" collapsed="false">
      <c r="B29" s="16" t="s">
        <v>429</v>
      </c>
      <c r="C29" s="10" t="s">
        <v>430</v>
      </c>
      <c r="D29" s="10" t="s">
        <v>426</v>
      </c>
    </row>
    <row r="30" customFormat="false" ht="15" hidden="false" customHeight="false" outlineLevel="0" collapsed="false">
      <c r="B30" s="17" t="s">
        <v>431</v>
      </c>
      <c r="C30" s="14" t="s">
        <v>432</v>
      </c>
      <c r="D30" s="14" t="s">
        <v>154</v>
      </c>
    </row>
    <row r="31" customFormat="false" ht="15" hidden="false" customHeight="false" outlineLevel="0" collapsed="false">
      <c r="B31" s="16" t="s">
        <v>433</v>
      </c>
      <c r="C31" s="10" t="s">
        <v>434</v>
      </c>
      <c r="D31" s="10" t="s">
        <v>435</v>
      </c>
    </row>
    <row r="32" customFormat="false" ht="15" hidden="false" customHeight="false" outlineLevel="0" collapsed="false">
      <c r="B32" s="17" t="s">
        <v>436</v>
      </c>
      <c r="C32" s="14" t="s">
        <v>437</v>
      </c>
      <c r="D32" s="14" t="s">
        <v>438</v>
      </c>
    </row>
    <row r="33" customFormat="false" ht="15" hidden="false" customHeight="false" outlineLevel="0" collapsed="false">
      <c r="B33" s="16" t="s">
        <v>439</v>
      </c>
      <c r="C33" s="10" t="s">
        <v>440</v>
      </c>
      <c r="D33" s="10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2026-08-31T10:37:41Z</dcterms:created>
  <dc:creator>openpyxl</dc:creator>
  <dc:description/>
  <dc:language>en-US</dc:language>
  <cp:lastModifiedBy/>
  <dcterms:modified xsi:type="dcterms:W3CDTF">2026-08-31T10:37:41Z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